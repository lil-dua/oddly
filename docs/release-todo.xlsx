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sheetId="1" state="visible" r:id="rId1"/>
    <sheet name="Chuc nang hien co" sheetId="2" state="visible" r:id="rId2"/>
    <sheet name="Todo Release" sheetId="3" state="visible" r:id="rId3"/>
  </sheets>
  <definedNames>
    <definedName name="_xlnm._FilterDatabase" localSheetId="1" hidden="1">'Chuc nang hien co'!$A$1:$G$21</definedName>
    <definedName name="_xlnm._FilterDatabase" localSheetId="2" hidden="1">'Todo Release'!$A$1:$L$36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sz val="14"/>
    </font>
    <font>
      <name val="Arial"/>
      <i val="1"/>
      <sz val="10"/>
    </font>
    <font>
      <name val="Arial"/>
      <b val="1"/>
      <sz val="10"/>
    </font>
  </fonts>
  <fills count="4">
    <fill>
      <patternFill/>
    </fill>
    <fill>
      <patternFill patternType="gray125"/>
    </fill>
    <fill>
      <patternFill patternType="solid">
        <fgColor rgb="002D1B4E"/>
      </patternFill>
    </fill>
    <fill>
      <patternFill patternType="solid">
        <fgColor rgb="00FFFB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left"/>
    </xf>
    <xf numFmtId="0" fontId="2" fillId="0" borderId="1" applyAlignment="1" pivotButton="0" quotePrefix="0" xfId="0">
      <alignment horizontal="center"/>
    </xf>
    <xf numFmtId="164" fontId="2" fillId="0" borderId="1" applyAlignment="1" pivotButton="0" quotePrefix="0" xfId="0">
      <alignment horizontal="center"/>
    </xf>
    <xf numFmtId="9" fontId="2" fillId="0" borderId="1" applyAlignment="1" pivotButton="0" quotePrefix="0" xfId="0">
      <alignment horizontal="center"/>
    </xf>
    <xf numFmtId="0" fontId="5" fillId="0" borderId="1" applyAlignment="1" pivotButton="0" quotePrefix="0" xfId="0">
      <alignment horizontal="left"/>
    </xf>
    <xf numFmtId="0" fontId="5" fillId="0" borderId="1" applyAlignment="1" pivotButton="0" quotePrefix="0" xfId="0">
      <alignment horizontal="center"/>
    </xf>
    <xf numFmtId="164" fontId="5" fillId="0" borderId="1" applyAlignment="1" pivotButton="0" quotePrefix="0" xfId="0">
      <alignment horizontal="center"/>
    </xf>
    <xf numFmtId="9" fontId="5" fillId="0" borderId="1" applyAlignment="1" pivotButton="0" quotePrefix="0" xfId="0">
      <alignment horizontal="center"/>
    </xf>
    <xf numFmtId="0" fontId="5" fillId="0" borderId="0" pivotButton="0" quotePrefix="0" xfId="0"/>
    <xf numFmtId="0" fontId="2" fillId="0" borderId="0" pivotButton="0" quotePrefix="0" xfId="0"/>
    <xf numFmtId="0" fontId="2" fillId="0" borderId="0" applyAlignment="1" pivotButton="0" quotePrefix="0" xfId="0">
      <alignment horizontal="center"/>
    </xf>
    <xf numFmtId="0" fontId="5" fillId="0" borderId="0" applyAlignment="1" pivotButton="0" quotePrefix="0" xfId="0">
      <alignment vertical="top" wrapText="1"/>
    </xf>
    <xf numFmtId="0" fontId="2" fillId="0" borderId="0"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2"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cellXfs>
  <cellStyles count="1">
    <cellStyle name="Normal" xfId="0" builtinId="0" hidden="0"/>
  </cellStyles>
  <dxfs count="4">
    <dxf>
      <fill>
        <patternFill patternType="solid">
          <fgColor rgb="00F8B4B4"/>
        </patternFill>
      </fill>
    </dxf>
    <dxf>
      <fill>
        <patternFill patternType="solid">
          <fgColor rgb="00FDE68A"/>
        </patternFill>
      </fill>
    </dxf>
    <dxf>
      <fill>
        <patternFill patternType="solid">
          <fgColor rgb="00C7D2FE"/>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 t="inlineStr">
        <is>
          <t>1% HUMAN (Oddly) — Kế hoạch sẵn sàng release</t>
        </is>
      </c>
    </row>
    <row r="2">
      <c r="A2" s="2" t="inlineStr">
        <is>
          <t>Phân tích mã nguồn ban đầu tại commit 8c842bf (18/10/2026); cập nhật tiến độ tại commit 73f905a, ngày 25/10/2026. Android (Compose) + iOS (SwiftUI) + sharedLogic (KMP).</t>
        </is>
      </c>
    </row>
    <row r="4">
      <c r="A4" s="3" t="inlineStr">
        <is>
          <t>Ưu tiên</t>
        </is>
      </c>
      <c r="B4" s="3" t="inlineStr">
        <is>
          <t>Số task</t>
        </is>
      </c>
      <c r="C4" s="3" t="inlineStr">
        <is>
          <t>Đã xong</t>
        </is>
      </c>
      <c r="D4" s="3" t="inlineStr">
        <is>
          <t>Còn lại</t>
        </is>
      </c>
      <c r="E4" s="3" t="inlineStr">
        <is>
          <t>Effort còn lại (ngày)</t>
        </is>
      </c>
      <c r="F4" s="3" t="inlineStr">
        <is>
          <t>% hoàn thành</t>
        </is>
      </c>
    </row>
    <row r="5">
      <c r="A5" s="4" t="inlineStr">
        <is>
          <t>P0 — Bắt buộc trước release</t>
        </is>
      </c>
      <c r="B5" s="5">
        <f>COUNTIF('Todo Release'!$E$2:$E$36,"P0")</f>
        <v/>
      </c>
      <c r="C5" s="5">
        <f>COUNTIFS('Todo Release'!$E$2:$E$36,"P0",'Todo Release'!$J$2:$J$36,"Xong")</f>
        <v/>
      </c>
      <c r="D5" s="5">
        <f>B5-C5</f>
        <v/>
      </c>
      <c r="E5" s="6">
        <f>SUMIFS('Todo Release'!$I$2:$I$36,'Todo Release'!$E$2:$E$36,"P0",'Todo Release'!$J$2:$J$36,"&lt;&gt;Xong")</f>
        <v/>
      </c>
      <c r="F5" s="7">
        <f>IF(B5=0,0,C5/B5)</f>
        <v/>
      </c>
    </row>
    <row r="6">
      <c r="A6" s="4" t="inlineStr">
        <is>
          <t>P1 — Nên có cho v1.0</t>
        </is>
      </c>
      <c r="B6" s="5">
        <f>COUNTIF('Todo Release'!$E$2:$E$36,"P1")</f>
        <v/>
      </c>
      <c r="C6" s="5">
        <f>COUNTIFS('Todo Release'!$E$2:$E$36,"P1",'Todo Release'!$J$2:$J$36,"Xong")</f>
        <v/>
      </c>
      <c r="D6" s="5">
        <f>B6-C6</f>
        <v/>
      </c>
      <c r="E6" s="6">
        <f>SUMIFS('Todo Release'!$I$2:$I$36,'Todo Release'!$E$2:$E$36,"P1",'Todo Release'!$J$2:$J$36,"&lt;&gt;Xong")</f>
        <v/>
      </c>
      <c r="F6" s="7">
        <f>IF(B6=0,0,C6/B6)</f>
        <v/>
      </c>
    </row>
    <row r="7">
      <c r="A7" s="4" t="inlineStr">
        <is>
          <t>P2 — Sau release (v1.1+)</t>
        </is>
      </c>
      <c r="B7" s="5">
        <f>COUNTIF('Todo Release'!$E$2:$E$36,"P2")</f>
        <v/>
      </c>
      <c r="C7" s="5">
        <f>COUNTIFS('Todo Release'!$E$2:$E$36,"P2",'Todo Release'!$J$2:$J$36,"Xong")</f>
        <v/>
      </c>
      <c r="D7" s="5">
        <f>B7-C7</f>
        <v/>
      </c>
      <c r="E7" s="6">
        <f>SUMIFS('Todo Release'!$I$2:$I$36,'Todo Release'!$E$2:$E$36,"P2",'Todo Release'!$J$2:$J$36,"&lt;&gt;Xong")</f>
        <v/>
      </c>
      <c r="F7" s="7">
        <f>IF(B7=0,0,C7/B7)</f>
        <v/>
      </c>
    </row>
    <row r="8">
      <c r="A8" s="8" t="inlineStr">
        <is>
          <t>Tổng</t>
        </is>
      </c>
      <c r="B8" s="9">
        <f>SUM(B5:B7)</f>
        <v/>
      </c>
      <c r="C8" s="9">
        <f>SUM(C5:C7)</f>
        <v/>
      </c>
      <c r="D8" s="9">
        <f>SUM(D5:D7)</f>
        <v/>
      </c>
      <c r="E8" s="10">
        <f>SUM(E5:E7)</f>
        <v/>
      </c>
      <c r="F8" s="11">
        <f>IF(B8=0,0,C8/B8)</f>
        <v/>
      </c>
    </row>
    <row r="10">
      <c r="A10" s="12" t="inlineStr">
        <is>
          <t>Chức năng hiện có</t>
        </is>
      </c>
    </row>
    <row r="11">
      <c r="A11" s="13" t="inlineStr">
        <is>
          <t>Hoàn thành</t>
        </is>
      </c>
      <c r="B11" s="14">
        <f>COUNTIF('Chuc nang hien co'!$F$2:$F$21,"Hoàn thành")</f>
        <v/>
      </c>
    </row>
    <row r="12">
      <c r="A12" s="13" t="inlineStr">
        <is>
          <t>Một phần / có vấn đề</t>
        </is>
      </c>
      <c r="B12" s="14">
        <f>COUNTIF('Chuc nang hien co'!$F$2:$F$21,"Một phần")</f>
        <v/>
      </c>
    </row>
    <row r="14">
      <c r="A14" s="15" t="inlineStr">
        <is>
          <t>Đánh giá nhanh</t>
        </is>
      </c>
    </row>
    <row r="15" ht="30" customHeight="1">
      <c r="A15" s="16" t="inlineStr">
        <is>
          <t>• Kiến trúc tốt: logic dùng chung KMP, UI native, offline hoàn toàn, song ngữ. Có 274 unit test shared + UI test smoke (6 Android, 5 iOS), hỗ trợ TalkBack/VoiceOver, cỡ chữ lớn, màu chữ đạt WCAG AA.</t>
        </is>
      </c>
    </row>
    <row r="16" ht="30" customHeight="1">
      <c r="A16" s="16" t="inlineStr">
        <is>
          <t>• Đã sửa 3 lỗi logic chặn phát hành (T-01 giờ hoàn thành, T-02 đổi ngày qua nửa đêm, T-03 farm XP) và hầu hết P1 code; các task đó còn chờ QA tay trên thiết bị thật.</t>
        </is>
      </c>
    </row>
    <row r="17" ht="30" customHeight="1">
      <c r="A17" s="16" t="inlineStr">
        <is>
          <t>• Việc chặn phát hành còn lại cần người làm: thủ tục store (T-10, T-11, T-14…T-17, T-19…T-21), duyệt nội dung + xác minh nguồn quote (T-26, T-27), duyệt bảng màu neon theme Sáng (T-23C), QA tay thiết bị thật.</t>
        </is>
      </c>
    </row>
    <row r="18" ht="30" customHeight="1">
      <c r="A18" s="16" t="inlineStr">
        <is>
          <t>• Google Play (tài khoản cá nhân mới) yêu cầu closed test 12 tester × 14 ngày → nên bắt đầu sớm, chạy song song với việc sửa P1.</t>
        </is>
      </c>
    </row>
    <row r="19">
      <c r="A19" s="16" t="inlineStr"/>
    </row>
    <row r="20">
      <c r="A20" s="15" t="inlineStr">
        <is>
          <t>Cách dùng</t>
        </is>
      </c>
    </row>
    <row r="21" ht="30" customHeight="1">
      <c r="A21" s="16" t="inlineStr">
        <is>
          <t>• Sheet 'Todo Release': cập nhật cột Trạng thái (Chưa làm / Đang làm / Xong / Bỏ qua), Người phụ trách, Ghi chú (ô nền vàng nhạt). Bảng trên tự tính lại.</t>
        </is>
      </c>
    </row>
    <row r="22" ht="30" customHeight="1">
      <c r="A22" s="16" t="inlineStr">
        <is>
          <t>• Effort là ước lượng thô (ngày công 1 dev quen codebase), chưa gồm thời gian chờ review của store.</t>
        </is>
      </c>
    </row>
    <row r="23" ht="30" customHeight="1">
      <c r="A23" s="16" t="inlineStr">
        <is>
          <t>• Ưu tiên: P0 = chặn release · P1 = nên có ở v1.0 · P2 = để v1.1+.</t>
        </is>
      </c>
    </row>
  </sheetData>
  <mergeCells count="10">
    <mergeCell ref="A16:F16"/>
    <mergeCell ref="A19:F19"/>
    <mergeCell ref="A14:F14"/>
    <mergeCell ref="A23:F23"/>
    <mergeCell ref="A22:F22"/>
    <mergeCell ref="A17:F17"/>
    <mergeCell ref="A18:F18"/>
    <mergeCell ref="A20:F20"/>
    <mergeCell ref="A21:F2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34" customWidth="1" min="3" max="3"/>
    <col width="70" customWidth="1" min="4" max="4"/>
    <col width="16" customWidth="1" min="5" max="5"/>
    <col width="14" customWidth="1" min="6" max="6"/>
    <col width="50" customWidth="1" min="7" max="7"/>
  </cols>
  <sheetData>
    <row r="1" ht="30" customHeight="1">
      <c r="A1" s="3" t="inlineStr">
        <is>
          <t>ID</t>
        </is>
      </c>
      <c r="B1" s="3" t="inlineStr">
        <is>
          <t>Nhóm</t>
        </is>
      </c>
      <c r="C1" s="3" t="inlineStr">
        <is>
          <t>Chức năng / Màn hình</t>
        </is>
      </c>
      <c r="D1" s="3" t="inlineStr">
        <is>
          <t>Mô tả hiện trạng</t>
        </is>
      </c>
      <c r="E1" s="3" t="inlineStr">
        <is>
          <t>Nền tảng</t>
        </is>
      </c>
      <c r="F1" s="3" t="inlineStr">
        <is>
          <t>Trạng thái</t>
        </is>
      </c>
      <c r="G1" s="3" t="inlineStr">
        <is>
          <t>Ghi chú / Vấn đề</t>
        </is>
      </c>
    </row>
    <row r="2">
      <c r="A2" s="17" t="inlineStr">
        <is>
          <t>F01</t>
        </is>
      </c>
      <c r="B2" s="18" t="inlineStr">
        <is>
          <t>Khởi động</t>
        </is>
      </c>
      <c r="C2" s="18" t="inlineStr">
        <is>
          <t>Splash (S01)</t>
        </is>
      </c>
      <c r="D2" s="18" t="inlineStr">
        <is>
          <t>Màn hình splash tối, tự chuyển sang Onboarding (lần đầu) hoặc Home.</t>
        </is>
      </c>
      <c r="E2" s="17" t="inlineStr">
        <is>
          <t>Cả hai</t>
        </is>
      </c>
      <c r="F2" s="17" t="inlineStr">
        <is>
          <t>Hoàn thành</t>
        </is>
      </c>
      <c r="G2" s="18" t="inlineStr">
        <is>
          <t>Android dùng core-splashscreen (T-29): chỉ còn 1 splash hệ thống (nền + icon), bỏ tagline; iOS giữ màn splash có tagline.</t>
        </is>
      </c>
    </row>
    <row r="3">
      <c r="A3" s="17" t="inlineStr">
        <is>
          <t>F02</t>
        </is>
      </c>
      <c r="B3" s="18" t="inlineStr">
        <is>
          <t>Onboarding</t>
        </is>
      </c>
      <c r="C3" s="18" t="inlineStr">
        <is>
          <t>Giới thiệu + chọn lĩnh vực + giờ nhắc (S02–S04)</t>
        </is>
      </c>
      <c r="D3" s="18" t="inlineStr">
        <is>
          <t>3 bước: giới thiệu, chọn lĩnh vực quan tâm (6 lĩnh vực), chọn giờ nhắc (4 mốc) và xin quyền thông báo. Có nút Bỏ qua. Sau khi xong, thử thách hôm nay được chọn lại theo sở thích.</t>
        </is>
      </c>
      <c r="E3" s="17" t="inlineStr">
        <is>
          <t>Cả hai</t>
        </is>
      </c>
      <c r="F3" s="17" t="inlineStr">
        <is>
          <t>Hoàn thành</t>
        </is>
      </c>
      <c r="G3" s="18" t="inlineStr">
        <is>
          <t>"Bỏ qua" không tắt nhắc nhở (khác "Để sau" ở màn quyền) — hành vi có sẵn, chờ quyết định sản phẩm.</t>
        </is>
      </c>
    </row>
    <row r="4">
      <c r="A4" s="17" t="inlineStr">
        <is>
          <t>F03</t>
        </is>
      </c>
      <c r="B4" s="18" t="inlineStr">
        <is>
          <t>Thử thách</t>
        </is>
      </c>
      <c r="C4" s="18" t="inlineStr">
        <is>
          <t>Home – Thử thách hôm nay (S05)</t>
        </is>
      </c>
      <c r="D4" s="18" t="inlineStr">
        <is>
          <t>Thẻ thử thách hôm nay, streak + dải 7 ngày, số thử thách đã làm, Level/XP, câu trích dẫn trong ngày.</t>
        </is>
      </c>
      <c r="E4" s="17" t="inlineStr">
        <is>
          <t>Cả hai</t>
        </is>
      </c>
      <c r="F4" s="17" t="inlineStr">
        <is>
          <t>Hoàn thành</t>
        </is>
      </c>
      <c r="G4" s="18" t="inlineStr"/>
    </row>
    <row r="5">
      <c r="A5" s="17" t="inlineStr">
        <is>
          <t>F04</t>
        </is>
      </c>
      <c r="B5" s="18" t="inlineStr">
        <is>
          <t>Thử thách</t>
        </is>
      </c>
      <c r="C5" s="18" t="inlineStr">
        <is>
          <t>Chi tiết thử thách (S06)</t>
        </is>
      </c>
      <c r="D5" s="18" t="inlineStr">
        <is>
          <t>Tiêu đề, lĩnh vực, độ khó, thời gian ước tính, 'Vì sao quan trọng', 'Cách làm' từng bước, nút Hoàn thành / Đổi thử thách.</t>
        </is>
      </c>
      <c r="E5" s="17" t="inlineStr">
        <is>
          <t>Cả hai</t>
        </is>
      </c>
      <c r="F5" s="17" t="inlineStr">
        <is>
          <t>Hoàn thành</t>
        </is>
      </c>
      <c r="G5" s="18" t="inlineStr">
        <is>
          <t>Giờ hoàn thành là giờ thật (T-01). Chỉ 1 hoàn thành/ngày cho thử thách hôm nay (T-03).</t>
        </is>
      </c>
    </row>
    <row r="6">
      <c r="A6" s="17" t="inlineStr">
        <is>
          <t>F05</t>
        </is>
      </c>
      <c r="B6" s="18" t="inlineStr">
        <is>
          <t>Thử thách</t>
        </is>
      </c>
      <c r="C6" s="18" t="inlineStr">
        <is>
          <t>Màn hình phần thưởng (S07)</t>
        </is>
      </c>
      <c r="D6" s="18" t="inlineStr">
        <is>
          <t>Hiển thị XP, % Humanity, lên level, streak, quote; nút Chia sẻ / Thử thách khác / Xong.</t>
        </is>
      </c>
      <c r="E6" s="17" t="inlineStr">
        <is>
          <t>Cả hai</t>
        </is>
      </c>
      <c r="F6" s="17" t="inlineStr">
        <is>
          <t>Hoàn thành</t>
        </is>
      </c>
      <c r="G6" s="18" t="inlineStr"/>
    </row>
    <row r="7">
      <c r="A7" s="17" t="inlineStr">
        <is>
          <t>F06</t>
        </is>
      </c>
      <c r="B7" s="18" t="inlineStr">
        <is>
          <t>Thử thách</t>
        </is>
      </c>
      <c r="C7" s="18" t="inlineStr">
        <is>
          <t>Đổi thử thách: Ngẫu nhiên / Theo lĩnh vực (S08, S09)</t>
        </is>
      </c>
      <c r="D7" s="18" t="inlineStr">
        <is>
          <t>Đổi thử thách hôm nay, ngẫu nhiên hoặc giới hạn trong 1 lĩnh vực. Tối đa 3 lượt đổi/ngày (đổi và "Chọn làm thử thách hôm nay" dùng chung); skippedCount +1 tối đa 1 lần/ngày.</t>
        </is>
      </c>
      <c r="E7" s="17" t="inlineStr">
        <is>
          <t>Cả hai</t>
        </is>
      </c>
      <c r="F7" s="17" t="inlineStr">
        <is>
          <t>Hoàn thành</t>
        </is>
      </c>
      <c r="G7" s="18" t="inlineStr">
        <is>
          <t>Giới hạn lượt đổi (T-04). Còn QA tay.</t>
        </is>
      </c>
    </row>
    <row r="8">
      <c r="A8" s="17" t="inlineStr">
        <is>
          <t>F07</t>
        </is>
      </c>
      <c r="B8" s="18" t="inlineStr">
        <is>
          <t>Thử thách</t>
        </is>
      </c>
      <c r="C8" s="18" t="inlineStr">
        <is>
          <t>Tất cả thử thách (S20)</t>
        </is>
      </c>
      <c r="D8" s="18" t="inlineStr">
        <is>
          <t>Duyệt toàn bộ thư viện 216 thử thách, mở chi tiết, "Chọn làm thử thách hôm nay".</t>
        </is>
      </c>
      <c r="E8" s="17" t="inlineStr">
        <is>
          <t>Cả hai</t>
        </is>
      </c>
      <c r="F8" s="17" t="inlineStr">
        <is>
          <t>Hoàn thành</t>
        </is>
      </c>
      <c r="G8" s="18" t="inlineStr">
        <is>
          <t>Hết farm XP: 1 hoàn thành/ngày (T-03). Thư viện 216 thử thách (T-26B).</t>
        </is>
      </c>
    </row>
    <row r="9">
      <c r="A9" s="17" t="inlineStr">
        <is>
          <t>F08</t>
        </is>
      </c>
      <c r="B9" s="18" t="inlineStr">
        <is>
          <t>Logic</t>
        </is>
      </c>
      <c r="C9" s="18" t="inlineStr">
        <is>
          <t>Thuật toán chọn thử thách</t>
        </is>
      </c>
      <c r="D9" s="18" t="inlineStr">
        <is>
          <t>Weighted random: cooldown 30 ngày, ưu tiên lĩnh vực quan tâm, tăng trọng số lĩnh vực ít làm trong 14 ngày, ưu tiên độ khó theo level (≤3 Dễ, ≤8 Vừa, còn lại Khó). Chọn 1 lần/ngày và lưu lại.</t>
        </is>
      </c>
      <c r="E9" s="17" t="inlineStr">
        <is>
          <t>Shared (KMP)</t>
        </is>
      </c>
      <c r="F9" s="17" t="inlineStr">
        <is>
          <t>Hoàn thành</t>
        </is>
      </c>
      <c r="G9" s="18" t="inlineStr">
        <is>
          <t>Có unit test.</t>
        </is>
      </c>
    </row>
    <row r="10">
      <c r="A10" s="17" t="inlineStr">
        <is>
          <t>F09</t>
        </is>
      </c>
      <c r="B10" s="18" t="inlineStr">
        <is>
          <t>Gamification</t>
        </is>
      </c>
      <c r="C10" s="18" t="inlineStr">
        <is>
          <t>XP / Level / Streak / % Humanity</t>
        </is>
      </c>
      <c r="D10" s="18" t="inlineStr">
        <is>
          <t>XP theo độ khó (10/20/35), XP lên level = 150 + 50×level. Streak không bị phạt khi gãy; chuỗi kết thúc hôm qua vẫn tính là hiện tại.</t>
        </is>
      </c>
      <c r="E10" s="17" t="inlineStr">
        <is>
          <t>Shared (KMP)</t>
        </is>
      </c>
      <c r="F10" s="17" t="inlineStr">
        <is>
          <t>Hoàn thành</t>
        </is>
      </c>
      <c r="G10" s="18" t="inlineStr"/>
    </row>
    <row r="11">
      <c r="A11" s="17" t="inlineStr">
        <is>
          <t>F10</t>
        </is>
      </c>
      <c r="B11" s="18" t="inlineStr">
        <is>
          <t>Hành trình</t>
        </is>
      </c>
      <c r="C11" s="18" t="inlineStr">
        <is>
          <t>Journey + Lịch tháng + Streak (S10, S11, S13)</t>
        </is>
      </c>
      <c r="D11" s="18" t="inlineStr">
        <is>
          <t>Tổng quan hành trình, lịch theo tháng đánh dấu ngày đã làm, chi tiết từng ngày, màn hình streak (hiện tại / tốt nhất).</t>
        </is>
      </c>
      <c r="E11" s="17" t="inlineStr">
        <is>
          <t>Cả hai</t>
        </is>
      </c>
      <c r="F11" s="17" t="inlineStr">
        <is>
          <t>Hoàn thành</t>
        </is>
      </c>
      <c r="G11" s="18" t="inlineStr"/>
    </row>
    <row r="12">
      <c r="A12" s="17" t="inlineStr">
        <is>
          <t>F11</t>
        </is>
      </c>
      <c r="B12" s="18" t="inlineStr">
        <is>
          <t>Thống kê</t>
        </is>
      </c>
      <c r="C12" s="18" t="inlineStr">
        <is>
          <t>Statistics (S12) + Empty state (S19)</t>
        </is>
      </c>
      <c r="D12" s="18" t="inlineStr">
        <is>
          <t>Lọc Tuần/Tháng/Năm/Tất cả, biểu đồ cột 7 cột, so sánh với kỳ trước, phân bố theo lĩnh vực, lĩnh vực hoạt động nhiều nhất, tỷ lệ hoàn thành. Empty state khi chưa có dữ liệu.</t>
        </is>
      </c>
      <c r="E12" s="17" t="inlineStr">
        <is>
          <t>Cả hai</t>
        </is>
      </c>
      <c r="F12" s="17" t="inlineStr">
        <is>
          <t>Hoàn thành</t>
        </is>
      </c>
      <c r="G12" s="18" t="inlineStr"/>
    </row>
    <row r="13">
      <c r="A13" s="17" t="inlineStr">
        <is>
          <t>F12</t>
        </is>
      </c>
      <c r="B13" s="18" t="inlineStr">
        <is>
          <t>Nội dung</t>
        </is>
      </c>
      <c r="C13" s="18" t="inlineStr">
        <is>
          <t>Quotes (S14)</t>
        </is>
      </c>
      <c r="D13" s="18" t="inlineStr">
        <is>
          <t>60 câu trích dẫn song ngữ (có nguồn), 1 câu/ngày, vuốt xem các câu khác, yêu thích lưu bền, chip lọc Tất cả / Đã thích.</t>
        </is>
      </c>
      <c r="E13" s="17" t="inlineStr">
        <is>
          <t>Cả hai</t>
        </is>
      </c>
      <c r="F13" s="17" t="inlineStr">
        <is>
          <t>Một phần</t>
        </is>
      </c>
      <c r="G13" s="18" t="inlineStr">
        <is>
          <t>Yêu thích lưu bền (T-05, PersistedState v3). Quote 12 → 60 (T-26A). Còn: người dùng duyệt docs/content-review.md, xác minh nguồn các câu CẦN XÁC MINH (T-27).</t>
        </is>
      </c>
    </row>
    <row r="14">
      <c r="A14" s="17" t="inlineStr">
        <is>
          <t>F13</t>
        </is>
      </c>
      <c r="B14" s="18" t="inlineStr">
        <is>
          <t>Cài đặt</t>
        </is>
      </c>
      <c r="C14" s="18" t="inlineStr">
        <is>
          <t>Settings (S15)</t>
        </is>
      </c>
      <c r="D14" s="18" t="inlineStr">
        <is>
          <t>Theme, Ngôn ngữ, Nhắc nhở + giờ nhắc, Âm thanh &amp; rung, Xuất / Nhập dữ liệu JSON, mục Hỗ trợ &amp; pháp lý (Đánh giá, Liên hệ &amp; góp ý, Chính sách quyền riêng tư, Giới thiệu với version từ build), Xóa toàn bộ dữ liệu. Cảnh báo khi quyền thông báo bị tắt.</t>
        </is>
      </c>
      <c r="E14" s="17" t="inlineStr">
        <is>
          <t>Cả hai</t>
        </is>
      </c>
      <c r="F14" s="17" t="inlineStr">
        <is>
          <t>Hoàn thành</t>
        </is>
      </c>
      <c r="G14" s="18" t="inlineStr">
        <is>
          <t>T-06, T-12, T-13. Hàng Đánh giá trên iOS ẩn tới khi có App Store ID (T-17).</t>
        </is>
      </c>
    </row>
    <row r="15">
      <c r="A15" s="17" t="inlineStr">
        <is>
          <t>F14</t>
        </is>
      </c>
      <c r="B15" s="18" t="inlineStr">
        <is>
          <t>Chia sẻ</t>
        </is>
      </c>
      <c r="C15" s="18" t="inlineStr">
        <is>
          <t>Share card (S18)</t>
        </is>
      </c>
      <c r="D15" s="18" t="inlineStr">
        <is>
          <t>Render thẻ thành tích thành PNG (nền đã flatten), chia sẻ qua share sheet hệ thống kèm caption + link/hashtag. Android dùng FileProvider (chỉ thư mục cache).</t>
        </is>
      </c>
      <c r="E15" s="17" t="inlineStr">
        <is>
          <t>Cả hai</t>
        </is>
      </c>
      <c r="F15" s="17" t="inlineStr">
        <is>
          <t>Hoàn thành</t>
        </is>
      </c>
      <c r="G15" s="18" t="inlineStr">
        <is>
          <t>Thẻ luôn tối, khoá cỡ chữ (T-07, T-23B); link lil-dua.github.io/projects/oddly (T-10) — cần đăng trang landing trước khi phát hành.</t>
        </is>
      </c>
    </row>
    <row r="16">
      <c r="A16" s="17" t="inlineStr">
        <is>
          <t>F15</t>
        </is>
      </c>
      <c r="B16" s="18" t="inlineStr">
        <is>
          <t>Thông báo</t>
        </is>
      </c>
      <c r="C16" s="18" t="inlineStr">
        <is>
          <t>Nhắc nhở hằng ngày (S16)</t>
        </is>
      </c>
      <c r="D16" s="18" t="inlineStr">
        <is>
          <t>Android: AlarmManager tự re-arm, BootReceiver khôi phục sau reboot/cập nhật/đổi giờ/đổi múi giờ. iOS: lên lịch 14 ngày theo ngày địa phương, dựng lại khi sang ngày/hoàn thành, nhắc cuối "Lâu rồi không gặp". Không nhắc khi hôm nay đã xong; copy "giữ chuỗi" khi chuỗi ≥ 3.</t>
        </is>
      </c>
      <c r="E16" s="17" t="inlineStr">
        <is>
          <t>Cả hai</t>
        </is>
      </c>
      <c r="F16" s="17" t="inlineStr">
        <is>
          <t>Hoàn thành</t>
        </is>
      </c>
      <c r="G16" s="18" t="inlineStr">
        <is>
          <t>Đã xử lý T-08, T-09. Còn QA tay (đổi múi giờ khi app bị kill).</t>
        </is>
      </c>
    </row>
    <row r="17">
      <c r="A17" s="17" t="inlineStr">
        <is>
          <t>F16</t>
        </is>
      </c>
      <c r="B17" s="18" t="inlineStr">
        <is>
          <t>Dữ liệu</t>
        </is>
      </c>
      <c r="C17" s="18" t="inlineStr">
        <is>
          <t>Lưu trữ local (offline-first)</t>
        </is>
      </c>
      <c r="D17" s="18" t="inlineStr">
        <is>
          <t>Một tài liệu JSON (kotlinx.serialization) trong SharedPreferences (commit) / UserDefaults, version 3, migrate từng bước v1→v2→v3, từ chối version tương lai. Có Nhập dữ liệu (≤ 5 MB) và backup hệ thống (Android data_extraction_rules / iCloud). Không mạng, không tài khoản.</t>
        </is>
      </c>
      <c r="E17" s="17" t="inlineStr">
        <is>
          <t>Shared + Cả hai</t>
        </is>
      </c>
      <c r="F17" s="17" t="inlineStr">
        <is>
          <t>Hoàn thành</t>
        </is>
      </c>
      <c r="G17" s="18" t="inlineStr">
        <is>
          <t>Import + backup (T-13), test migration có fixture v1/v2 (T-35).</t>
        </is>
      </c>
    </row>
    <row r="18">
      <c r="A18" s="17" t="inlineStr">
        <is>
          <t>F17</t>
        </is>
      </c>
      <c r="B18" s="18" t="inlineStr">
        <is>
          <t>Đa ngôn ngữ</t>
        </is>
      </c>
      <c r="C18" s="18" t="inlineStr">
        <is>
          <t>Song ngữ Việt / Anh trong app</t>
        </is>
      </c>
      <c r="D18" s="18" t="inlineStr">
        <is>
          <t>Toàn bộ chuỗi UI qua interface Strings (thiếu bản dịch → không compile), kể cả nhãn trợ năng; nội dung LocalizedText, DateFormat tự viết.</t>
        </is>
      </c>
      <c r="E18" s="17" t="inlineStr">
        <is>
          <t>Shared (KMP)</t>
        </is>
      </c>
      <c r="F18" s="17" t="inlineStr">
        <is>
          <t>Hoàn thành</t>
        </is>
      </c>
      <c r="G18" s="18" t="n"/>
    </row>
    <row r="19">
      <c r="A19" s="17" t="inlineStr">
        <is>
          <t>F18</t>
        </is>
      </c>
      <c r="B19" s="18" t="inlineStr">
        <is>
          <t>Nội dung</t>
        </is>
      </c>
      <c r="C19" s="18" t="inlineStr">
        <is>
          <t>Seed content</t>
        </is>
      </c>
      <c r="D19" s="18" t="inlineStr">
        <is>
          <t>216 thử thách (36/lĩnh vực, mỗi lĩnh vực 12 Dễ / 12 Vừa / 12 Khó), 60 quote, bộ câu nhắc xoay vòng.</t>
        </is>
      </c>
      <c r="E19" s="17" t="inlineStr">
        <is>
          <t>Shared (KMP)</t>
        </is>
      </c>
      <c r="F19" s="17" t="inlineStr">
        <is>
          <t>Một phần</t>
        </is>
      </c>
      <c r="G19" s="18" t="inlineStr">
        <is>
          <t>Mở rộng ở T-26A/B. Còn: người dùng duyệt docs/content-review-challenges.md và thêm 96 id mới vào PublishedContent.kt trước khi phát hành.</t>
        </is>
      </c>
    </row>
    <row r="20">
      <c r="A20" s="17" t="inlineStr">
        <is>
          <t>F19</t>
        </is>
      </c>
      <c r="B20" s="18" t="inlineStr">
        <is>
          <t>Chất lượng</t>
        </is>
      </c>
      <c r="C20" s="18" t="inlineStr">
        <is>
          <t>Unit test</t>
        </is>
      </c>
      <c r="D20" s="18" t="inlineStr">
        <is>
          <t>274 test sharedLogic/commonTest (JVM + Kotlin/Native): logic, migration, nội dung, tương phản màu, câu đọc trợ năng. UI test: Android 6 Compose test trên emulator, iOS 5 XCUITest (smoke, đổi ngày, 1 hoàn thành/ngày).</t>
        </is>
      </c>
      <c r="E20" s="17" t="inlineStr">
        <is>
          <t>Shared (KMP)</t>
        </is>
      </c>
      <c r="F20" s="17" t="inlineStr">
        <is>
          <t>Hoàn thành</t>
        </is>
      </c>
      <c r="G20" s="18" t="inlineStr">
        <is>
          <t>UI test thêm ở T-24. Luồng ngoài smoke vẫn QA tay.</t>
        </is>
      </c>
    </row>
    <row r="21">
      <c r="A21" s="17" t="inlineStr">
        <is>
          <t>F20</t>
        </is>
      </c>
      <c r="B21" s="18" t="inlineStr">
        <is>
          <t>Release</t>
        </is>
      </c>
      <c r="C21" s="18" t="inlineStr">
        <is>
          <t>Cấu hình build &amp; store</t>
        </is>
      </c>
      <c r="D21" s="18" t="inlineStr">
        <is>
          <t>Android: R8 + shrink resources, proguard, signing từ keystore.properties, version từ iosApp/Configuration/Version.xcconfig (dùng chung). iOS: iPhone-only, portrait, deployment target 17.0, PrivacyInfo.xcprivacy, scheme dùng chung có UI test. Có privacy policy, store listing song ngữ, docs/release-process.md.</t>
        </is>
      </c>
      <c r="E21" s="17" t="inlineStr">
        <is>
          <t>Cả hai</t>
        </is>
      </c>
      <c r="F21" s="17" t="inlineStr">
        <is>
          <t>Một phần</t>
        </is>
      </c>
      <c r="G21" s="18" t="inlineStr">
        <is>
          <t>Version một nguồn + script bump (T-28), iOS 17 (T-18), giám sát crash không SDK (T-22). Còn placeholder: TEAM_ID, keystore, tên/email nhà phát triển, link thương hiệu (T-10, T-11, T-14…T-17).</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32" customWidth="1" min="3" max="3"/>
    <col width="14" customWidth="1" min="4" max="4"/>
    <col width="9" customWidth="1" min="5" max="5"/>
    <col width="60" customWidth="1" min="6" max="6"/>
    <col width="65" customWidth="1" min="7" max="7"/>
    <col width="45" customWidth="1" min="8" max="8"/>
    <col width="10" customWidth="1" min="9" max="9"/>
    <col width="12" customWidth="1" min="10" max="10"/>
    <col width="14" customWidth="1" min="11" max="11"/>
    <col width="25" customWidth="1" min="12" max="12"/>
  </cols>
  <sheetData>
    <row r="1" ht="30" customHeight="1">
      <c r="A1" s="3" t="inlineStr">
        <is>
          <t>ID</t>
        </is>
      </c>
      <c r="B1" s="3" t="inlineStr">
        <is>
          <t>Nhóm</t>
        </is>
      </c>
      <c r="C1" s="3" t="inlineStr">
        <is>
          <t>Hạng mục</t>
        </is>
      </c>
      <c r="D1" s="3" t="inlineStr">
        <is>
          <t>Nền tảng</t>
        </is>
      </c>
      <c r="E1" s="3" t="inlineStr">
        <is>
          <t>Ưu tiên</t>
        </is>
      </c>
      <c r="F1" s="3" t="inlineStr">
        <is>
          <t>Hiện trạng / Vấn đề</t>
        </is>
      </c>
      <c r="G1" s="3" t="inlineStr">
        <is>
          <t>Gợi ý sửa đổi</t>
        </is>
      </c>
      <c r="H1" s="3" t="inlineStr">
        <is>
          <t>File liên quan</t>
        </is>
      </c>
      <c r="I1" s="3" t="inlineStr">
        <is>
          <t>Effort (ngày)</t>
        </is>
      </c>
      <c r="J1" s="3" t="inlineStr">
        <is>
          <t>Trạng thái</t>
        </is>
      </c>
      <c r="K1" s="3" t="inlineStr">
        <is>
          <t>Người phụ trách</t>
        </is>
      </c>
      <c r="L1" s="3" t="inlineStr">
        <is>
          <t>Ghi chú</t>
        </is>
      </c>
    </row>
    <row r="2">
      <c r="A2" s="17" t="inlineStr">
        <is>
          <t>T-01</t>
        </is>
      </c>
      <c r="B2" s="18" t="inlineStr">
        <is>
          <t>Bug / Logic</t>
        </is>
      </c>
      <c r="C2" s="18" t="inlineStr">
        <is>
          <t>Giờ hoàn thành bị gán cứng 09:41</t>
        </is>
      </c>
      <c r="D2" s="17" t="inlineStr">
        <is>
          <t>Cả hai</t>
        </is>
      </c>
      <c r="E2" s="17" t="inlineStr">
        <is>
          <t>P0</t>
        </is>
      </c>
      <c r="F2" s="18" t="inlineStr">
        <is>
          <t>OddlyAppState.complete() có tham số mặc định at = 09:41 và mọi chỗ gọi đều không truyền giờ → mọi completion lưu completedAt = 09:41. Lịch/chi tiết ngày hiển thị sai và sắp xếp theo giờ vô nghĩa.</t>
        </is>
      </c>
      <c r="G2" s="18" t="inlineStr">
        <is>
          <t>Lấy giờ thực tế: Clock.System.now().toLocalDateTime(TimeZone.currentSystemDefault()).time (thêm helper Now.localTime() trong core/time cạnh Today). Bỏ giá trị mặc định để không ai quên truyền.</t>
        </is>
      </c>
      <c r="H2" s="18" t="inlineStr">
        <is>
          <t>androidApp/src/main/kotlin/dev/lildua/oddly/ui/state/OddlyAppState.kt; iosApp/iosApp/State/OddlyAppState.swift; sharedLogic/src/commonMain/kotlin/dev/lildua/oddly/core/time/Today.kt</t>
        </is>
      </c>
      <c r="I2" s="19" t="n">
        <v>0.5</v>
      </c>
      <c r="J2" s="20" t="inlineStr">
        <is>
          <t>Xong</t>
        </is>
      </c>
      <c r="K2" s="21" t="inlineStr">
        <is>
          <t>Claude (team-run)</t>
        </is>
      </c>
      <c r="L2" s="21" t="inlineStr">
        <is>
          <t>Đã sửa 18/10/2026: Today.now() + DailyChallengeRules.complete dùng giờ thật. Giá trị 09:41 đã lưu không khôi phục được. Review APPROVE.</t>
        </is>
      </c>
    </row>
    <row r="3">
      <c r="A3" s="17" t="inlineStr">
        <is>
          <t>T-02</t>
        </is>
      </c>
      <c r="B3" s="18" t="inlineStr">
        <is>
          <t>Bug / Logic</t>
        </is>
      </c>
      <c r="C3" s="18" t="inlineStr">
        <is>
          <t>Ngày 'hôm nay' bị cố định lúc khởi tạo app</t>
        </is>
      </c>
      <c r="D3" s="17" t="inlineStr">
        <is>
          <t>Cả hai</t>
        </is>
      </c>
      <c r="E3" s="17" t="inlineStr">
        <is>
          <t>P0</t>
        </is>
      </c>
      <c r="F3" s="18" t="inlineStr">
        <is>
          <t>today được tính 1 lần khi tạo state. Nếu app ở nền qua nửa đêm (rất phổ biến), hoàn thành sẽ ghi vào ngày hôm qua, streak/dải 7 ngày sai, và không có thử thách mới cho ngày mới tới khi process bị kill.</t>
        </is>
      </c>
      <c r="G3" s="18" t="inlineStr">
        <is>
          <t>Biến today thành state có thể cập nhật: Android lắng nghe Lifecycle ON_RESUME (+ ACTION_DATE_CHANGED/TIME_SET), iOS dùng scenePhase == .active (+ NSCalendarDayChanged). Khi ngày đổi: gọi lại OddlyRepository.resolveDailyChallenge, persist, cập nhật UI. Thêm unit test cho chuyển ngày.</t>
        </is>
      </c>
      <c r="H3" s="18" t="inlineStr">
        <is>
          <t>androidApp/src/main/kotlin/dev/lildua/oddly/ui/state/OddlyAppState.kt; androidApp/src/main/kotlin/dev/lildua/oddly/OddlyApp.kt; iosApp/iosApp/State/OddlyAppState.swift; iosApp/iosApp/OddlyRootView.swift</t>
        </is>
      </c>
      <c r="I3" s="19" t="n">
        <v>1.5</v>
      </c>
      <c r="J3" s="20" t="inlineStr">
        <is>
          <t>Đang làm</t>
        </is>
      </c>
      <c r="K3" s="21" t="inlineStr">
        <is>
          <t>Claude (team-run)</t>
        </is>
      </c>
      <c r="L3" s="21" t="inlineStr">
        <is>
          <t>Code xong 18/10/2026 (rollover, DAY_CHANGED, refreshDay, banner đổi ngày), review APPROVE sau 1 vòng sửa. Còn QA tay trên máy thật: xem docs/plans/T-02.md (Test report).</t>
        </is>
      </c>
    </row>
    <row r="4">
      <c r="A4" s="17" t="inlineStr">
        <is>
          <t>T-03</t>
        </is>
      </c>
      <c r="B4" s="18" t="inlineStr">
        <is>
          <t>Bug / Logic</t>
        </is>
      </c>
      <c r="C4" s="18" t="inlineStr">
        <is>
          <t>Có thể farm XP qua 'Tất cả thử thách'</t>
        </is>
      </c>
      <c r="D4" s="17" t="inlineStr">
        <is>
          <t>Cả hai</t>
        </is>
      </c>
      <c r="E4" s="17" t="inlineStr">
        <is>
          <t>P0</t>
        </is>
      </c>
      <c r="F4" s="18" t="inlineStr">
        <is>
          <t>Màn All Challenges cho mở và hoàn thành bất kỳ thử thách nào; giới hạn chỉ là 1 lần/thử thách/ngày → 1 ngày có thể làm 120 thử thách, XP/level/thống kê/tỷ lệ bị lạm phát, mất ý nghĩa 'mỗi ngày 1 thử thách'.</t>
        </is>
      </c>
      <c r="G4" s="18" t="inlineStr">
        <is>
          <t>Chốt luật sản phẩm: (a) chỉ thử thách hôm nay được tính XP, các thử thách khác ở chế độ 'xem trước'; hoặc (b) cho làm thêm nhưng giới hạn N bonus/ngày với XP giảm. Áp luật trong shared layer (một use case CompleteChallenge) để 2 nền tảng không lệch.</t>
        </is>
      </c>
      <c r="H4" s="18" t="inlineStr">
        <is>
          <t>androidApp/src/main/kotlin/dev/lildua/oddly/OddlyApp.kt; androidApp/src/main/kotlin/dev/lildua/oddly/ui/screens/challenge/AllChallengesScreen.kt; iosApp/iosApp/Screens/Challenge/AllChallengesScreen.swift</t>
        </is>
      </c>
      <c r="I4" s="19" t="n">
        <v>1</v>
      </c>
      <c r="J4" s="20" t="inlineStr">
        <is>
          <t>Đang làm</t>
        </is>
      </c>
      <c r="K4" s="21" t="inlineStr">
        <is>
          <t>Claude (team-run)</t>
        </is>
      </c>
      <c r="L4" s="21" t="inlineStr">
        <is>
          <t>Code xong 18/10/2026: chỉ 1 hoàn thành/ngày cho thử thách hôm nay, "Chọn làm thử thách hôm nay", chặn 4 đường farm. Review APPROVE. Còn QA tay: xem docs/plans/T-03.md (Test report).</t>
        </is>
      </c>
    </row>
    <row r="5">
      <c r="A5" s="17" t="inlineStr">
        <is>
          <t>T-04</t>
        </is>
      </c>
      <c r="B5" s="18" t="inlineStr">
        <is>
          <t>Bug / Logic</t>
        </is>
      </c>
      <c r="C5" s="18" t="inlineStr">
        <is>
          <t>Đổi thử thách không giới hạn &amp; làm sai tỷ lệ hoàn thành</t>
        </is>
      </c>
      <c r="D5" s="17" t="inlineStr">
        <is>
          <t>Cả hai</t>
        </is>
      </c>
      <c r="E5" s="17" t="inlineStr">
        <is>
          <t>P1</t>
        </is>
      </c>
      <c r="F5" s="18" t="inlineStr">
        <is>
          <t>reroll() không giới hạn số lần, mỗi lần +1 skippedCount → người dùng bấm 'Ngẫu nhiên' vài lần để tìm thử thách ưng ý là tỷ lệ hoàn thành tụt mạnh. Store listing hứa 'đổi bằng 1 chạm'.</t>
        </is>
      </c>
      <c r="G5" s="18" t="inlineStr">
        <is>
          <t>Giới hạn 2–3 lượt đổi/ngày (hiển thị số lượt còn lại), và chỉ tính skipped tối đa 1 lần/ngày hoặc chỉ khi ngày kết thúc mà chưa hoàn thành. Lưu rerollsToday vào DailyChallenge (dùng luôn trường status đang bỏ trống).</t>
        </is>
      </c>
      <c r="H5" s="18" t="inlineStr">
        <is>
          <t>androidApp/src/main/kotlin/dev/lildua/oddly/ui/state/OddlyAppState.kt; iosApp/iosApp/State/OddlyAppState.swift; sharedLogic/src/commonMain/kotlin/dev/lildua/oddly/domain/model/DailyChallenge.kt</t>
        </is>
      </c>
      <c r="I5" s="19" t="n">
        <v>1</v>
      </c>
      <c r="J5" s="20" t="inlineStr">
        <is>
          <t>Đang làm</t>
        </is>
      </c>
      <c r="K5" s="21" t="inlineStr"/>
      <c r="L5" s="21" t="inlineStr">
        <is>
          <t>Code xong 18/10/2026: tối đa 3 lượt đổi/ngày (reroll + adopt dùng chung), skippedCount +1 tối đa 1 lần/ngày, PersistedState v2 (swapsUsed). Review APPROVE. Còn QA tay: xem docs/plans/T-04_T-35.md (Test report).</t>
        </is>
      </c>
    </row>
    <row r="6">
      <c r="A6" s="17" t="inlineStr">
        <is>
          <t>T-05</t>
        </is>
      </c>
      <c r="B6" s="18" t="inlineStr">
        <is>
          <t>Bug / Logic</t>
        </is>
      </c>
      <c r="C6" s="18" t="inlineStr">
        <is>
          <t>Quote yêu thích không được lưu</t>
        </is>
      </c>
      <c r="D6" s="17" t="inlineStr">
        <is>
          <t>Cả hai</t>
        </is>
      </c>
      <c r="E6" s="17" t="inlineStr">
        <is>
          <t>P1</t>
        </is>
      </c>
      <c r="F6" s="18" t="inlineStr">
        <is>
          <t>favorites dùng remember / @State trong QuotesScreen → mất khi rời màn hình. Quote.isFavorite trong model không được dùng.</t>
        </is>
      </c>
      <c r="G6" s="18" t="inlineStr">
        <is>
          <t>Thêm favoriteQuoteIds: Set&lt;String&gt; vào PersistedState (tăng CURRENT_VERSION = 2, viết nhánh migrate trong decode + test). Thêm màn/tab 'Đã yêu thích'. Hoặc ẩn nút tim nếu chưa kịp.</t>
        </is>
      </c>
      <c r="H6" s="18" t="inlineStr">
        <is>
          <t>androidApp/src/main/kotlin/dev/lildua/oddly/ui/screens/quotes/QuotesScreen.kt; iosApp/iosApp/Screens/Quotes/QuotesScreen.swift; sharedLogic/src/commonMain/kotlin/dev/lildua/oddly/data/local/PersistedState.kt; OddlyRepository.kt</t>
        </is>
      </c>
      <c r="I6" s="19" t="n">
        <v>1</v>
      </c>
      <c r="J6" s="20" t="inlineStr">
        <is>
          <t>Đang làm</t>
        </is>
      </c>
      <c r="K6" s="21" t="inlineStr"/>
      <c r="L6" s="21" t="inlineStr">
        <is>
          <t>Code xong 19/10/2026: favorites lưu bền (PersistedState v3, favoriteQuoteIds), chip "Tất cả / Đã thích" ở S14, "Xóa tất cả dữ liệu" xoá luôn favorites. Review APPROVE. Còn QA tay: xem docs/plans/T-05.md.</t>
        </is>
      </c>
    </row>
    <row r="7">
      <c r="A7" s="17" t="inlineStr">
        <is>
          <t>T-06</t>
        </is>
      </c>
      <c r="B7" s="18" t="inlineStr">
        <is>
          <t>Bug / Logic</t>
        </is>
      </c>
      <c r="C7" s="18" t="inlineStr">
        <is>
          <t>Toggle 'Âm thanh &amp; rung' không có tác dụng</t>
        </is>
      </c>
      <c r="D7" s="17" t="inlineStr">
        <is>
          <t>Cả hai</t>
        </is>
      </c>
      <c r="E7" s="17" t="inlineStr">
        <is>
          <t>P1</t>
        </is>
      </c>
      <c r="F7" s="18" t="inlineStr">
        <is>
          <t>Android: không có haptic/âm thanh nào trong app, toggle chỉ lưu giá trị. iOS: chỉ dùng cho âm thanh thông báo. Người dùng bật/tắt mà không thấy khác biệt → cảm giác lỗi.</t>
        </is>
      </c>
      <c r="G7" s="18" t="inlineStr">
        <is>
          <t>Thêm haptic khi hoàn thành / lên level / chọn lĩnh vực (Android HapticFeedback/Vibrator, iOS .sensoryFeedback) và âm thanh ăn mừng ngắn ở màn phần thưởng, đều tôn trọng setting. Nếu không làm kịp: bỏ toggle khỏi Settings cho v1.0.</t>
        </is>
      </c>
      <c r="H7" s="18" t="inlineStr">
        <is>
          <t>androidApp/src/main/kotlin/dev/lildua/oddly/ui/screens/settings/SettingsScreen.kt; androidApp/src/main/kotlin/dev/lildua/oddly/ui/screens/challenge/ChallengeCompleteScreen.kt; iosApp/iosApp/Screens/Challenge/ChallengeCompleteScreen.swift</t>
        </is>
      </c>
      <c r="I7" s="19" t="n">
        <v>1</v>
      </c>
      <c r="J7" s="20" t="inlineStr">
        <is>
          <t>Đang làm</t>
        </is>
      </c>
      <c r="K7" s="21" t="inlineStr"/>
      <c r="L7" s="21" t="inlineStr">
        <is>
          <t>Code xong 19/10/2026 (chốt: rung + âm hệ thống, không tệp âm thanh): rung khi hoàn thành / lên level (mạnh hơn) / chọn lĩnh vực, âm hệ thống ngắn khi nhận thưởng, preview khi bật toggle; toggle cũng tắt âm thông báo Android. Không thêm quyền. Review APPROVE. Còn QA tay trên máy thật: xem docs/plans/T-06.md.</t>
        </is>
      </c>
    </row>
    <row r="8">
      <c r="A8" s="17" t="inlineStr">
        <is>
          <t>T-07</t>
        </is>
      </c>
      <c r="B8" s="18" t="inlineStr">
        <is>
          <t>Bug / UI</t>
        </is>
      </c>
      <c r="C8" s="18" t="inlineStr">
        <is>
          <t>Theme Sáng: status bar &amp; ảnh chia sẻ</t>
        </is>
      </c>
      <c r="D8" s="17" t="inlineStr">
        <is>
          <t>Android (+ kiểm tra iOS)</t>
        </is>
      </c>
      <c r="E8" s="17" t="inlineStr">
        <is>
          <t>P1</t>
        </is>
      </c>
      <c r="F8" s="18" t="inlineStr">
        <is>
          <t>MainActivity cố định SystemBarStyle.dark → ở theme Sáng icon status/navigation bar màu trắng trên nền sáng (không nhìn thấy). ShareImageExport luôn flatten lên nền tối kể cả khi thẻ ở theme sáng.</t>
        </is>
      </c>
      <c r="G8" s="18" t="inlineStr">
        <is>
          <t>Đổi system bar style theo themeMode hiện tại (SystemBarStyle.auto / gọi lại enableEdgeToEdge khi theme đổi). Flatten ảnh share bằng màu nền của palette đang dùng. QA toàn bộ màn hình ở theme Sáng trên cả 2 nền tảng.</t>
        </is>
      </c>
      <c r="H8" s="18" t="inlineStr">
        <is>
          <t>androidApp/src/main/kotlin/dev/lildua/oddly/MainActivity.kt; androidApp/src/main/kotlin/dev/lildua/oddly/ui/screens/share/ShareImageExport.kt; androidApp/src/main/kotlin/dev/lildua/oddly/ui/theme/Theme.kt</t>
        </is>
      </c>
      <c r="I8" s="19" t="n">
        <v>0.5</v>
      </c>
      <c r="J8" s="20" t="inlineStr">
        <is>
          <t>Đang làm</t>
        </is>
      </c>
      <c r="K8" s="21" t="inlineStr"/>
      <c r="L8" s="21" t="inlineStr">
        <is>
          <t>Code xong 19/10/2026: system bar theo theme trong app (đổi ngay cả khi đổi dark mode hệ thống), thẻ chia sẻ luôn tối trên cả hai nền tảng (sửa chữ khó đọc ở theme Sáng). Review APPROVE sau 1 vòng sửa. Còn QA tay: xem docs/plans/T-07_T-29.md.</t>
        </is>
      </c>
    </row>
    <row r="9">
      <c r="A9" s="17" t="inlineStr">
        <is>
          <t>T-08</t>
        </is>
      </c>
      <c r="B9" s="18" t="inlineStr">
        <is>
          <t>Thông báo</t>
        </is>
      </c>
      <c r="C9" s="18" t="inlineStr">
        <is>
          <t>Vẫn nhắc dù đã hoàn thành hôm nay</t>
        </is>
      </c>
      <c r="D9" s="17" t="inlineStr">
        <is>
          <t>Cả hai</t>
        </is>
      </c>
      <c r="E9" s="17" t="inlineStr">
        <is>
          <t>P1</t>
        </is>
      </c>
      <c r="F9" s="18" t="inlineStr">
        <is>
          <t>Thông báo luôn gửi theo giờ đã đặt, kể cả khi người dùng đã làm xong thử thách → cảm giác spam, dễ bị tắt thông báo.</t>
        </is>
      </c>
      <c r="G9" s="18" t="inlineStr">
        <is>
          <t>iOS: khi complete() thì removePendingNotificationRequests cho id của hôm nay. Android: ReminderReceiver đọc OddlyRepository (SharedPreferencesStore) và bỏ qua nếu đã có completion ngày hôm nay (vẫn re-arm ngày mai). Có thể đổi copy thành 'giữ streak' khi streak ≥ 3.</t>
        </is>
      </c>
      <c r="H9" s="18" t="inlineStr">
        <is>
          <t>androidApp/src/main/kotlin/dev/lildua/oddly/notifications/ReminderReceiver.kt; iosApp/iosApp/Notifications/ReminderScheduler.swift</t>
        </is>
      </c>
      <c r="I9" s="19" t="n">
        <v>0.5</v>
      </c>
      <c r="J9" s="20" t="inlineStr">
        <is>
          <t>Đang làm</t>
        </is>
      </c>
      <c r="K9" s="21" t="inlineStr"/>
      <c r="L9" s="21" t="inlineStr">
        <is>
          <t>Code xong 18/10/2026: ReminderPlanner (shared) — đã xong hôm nay thì không nhắc, gỡ thông báo đã hiện khi hoàn thành, copy "giữ chuỗi" khi chuỗi tới hôm qua ≥ 3. Review APPROVE. Còn QA tay: xem docs/plans/T-08_T-09.md.</t>
        </is>
      </c>
    </row>
    <row r="10">
      <c r="A10" s="17" t="inlineStr">
        <is>
          <t>T-09</t>
        </is>
      </c>
      <c r="B10" s="18" t="inlineStr">
        <is>
          <t>Thông báo</t>
        </is>
      </c>
      <c r="C10" s="18" t="inlineStr">
        <is>
          <t>Đổi múi giờ / giờ hệ thống làm lệch lời nhắc</t>
        </is>
      </c>
      <c r="D10" s="17" t="inlineStr">
        <is>
          <t>Cả hai</t>
        </is>
      </c>
      <c r="E10" s="17" t="inlineStr">
        <is>
          <t>P1</t>
        </is>
      </c>
      <c r="F10" s="18" t="inlineStr">
        <is>
          <t>Android BootReceiver chỉ xử lý BOOT_COMPLETED &amp; MY_PACKAGE_REPLACED; alarm đặt theo epoch millis nên khi đổi múi giờ/giờ hệ thống sẽ kêu sai giờ. iOS tính dayIndex = epoch/86400 theo UTC → copy có thể lệch ngày so với giờ địa phương. iOS chỉ lên lịch 14 ngày: không mở app &gt;14 ngày là hết nhắc.</t>
        </is>
      </c>
      <c r="G10" s="18" t="inlineStr">
        <is>
          <t>Android: thêm ACTION_TIMEZONE_CHANGED, ACTION_TIME_CHANGED (TIME_SET) vào BootReceiver; đăng ký LOCKED_BOOT_COMPLETED nếu cần. iOS: dùng ngày địa phương (Calendar) để tính dayIndex; thêm 1 thông báo cuối cùng kiểu 'Lâu rồi không gặp' ở ngày 14.</t>
        </is>
      </c>
      <c r="H10" s="18" t="inlineStr">
        <is>
          <t>androidApp/src/main/kotlin/dev/lildua/oddly/notifications/BootReceiver.kt; androidApp/src/main/AndroidManifest.xml; iosApp/iosApp/Notifications/ReminderScheduler.swift</t>
        </is>
      </c>
      <c r="I10" s="19" t="n">
        <v>0.5</v>
      </c>
      <c r="J10" s="20" t="inlineStr">
        <is>
          <t>Đang làm</t>
        </is>
      </c>
      <c r="K10" s="21" t="inlineStr"/>
      <c r="L10" s="21" t="inlineStr">
        <is>
          <t>Code xong 18/10/2026: Android BootReceiver nhận TIME_SET/TIMEZONE_CHANGED; iOS dayIndex theo ngày địa phương, dựng lại lịch khi sang ngày/hoàn thành, nhắc cuối cửa sổ 14 ngày "Lâu rồi không gặp". Không dùng LOCKED_BOOT_COMPLETED. Review APPROVE. Còn QA tay (Android #5–6 khi app bị kill): xem docs/plans/T-08_T-09.md.</t>
        </is>
      </c>
    </row>
    <row r="11">
      <c r="A11" s="17" t="inlineStr">
        <is>
          <t>T-10</t>
        </is>
      </c>
      <c r="B11" s="18" t="inlineStr">
        <is>
          <t>Store / Thương hiệu</t>
        </is>
      </c>
      <c r="C11" s="18" t="inlineStr">
        <is>
          <t>Placeholder thương hiệu trên share card</t>
        </is>
      </c>
      <c r="D11" s="17" t="inlineStr">
        <is>
          <t>Shared</t>
        </is>
      </c>
      <c r="E11" s="17" t="inlineStr">
        <is>
          <t>P0</t>
        </is>
      </c>
      <c r="F11" s="18" t="inlineStr">
        <is>
          <t>Brand.SHORT_LINK = '1percenthuman.app' và HANDLE = '@1percenthuman' là placeholder, đang in lên mọi ảnh chia sẻ. Nếu domain/handle không thuộc về bạn → dẫn người nhận sang chỗ khác, có thể vi phạm thương hiệu.</t>
        </is>
      </c>
      <c r="G11" s="18" t="inlineStr">
        <is>
          <t>Đăng ký domain + landing page đơn giản (có link 2 store, có thể dùng GitHub Pages cùng privacy policy) và handle mạng xã hội; hoặc tạm thay bằng link store. Cập nhật Brand.kt.</t>
        </is>
      </c>
      <c r="H11" s="18" t="inlineStr">
        <is>
          <t>sharedLogic/src/commonMain/kotlin/dev/lildua/oddly/core/text/Brand.kt</t>
        </is>
      </c>
      <c r="I11" s="19" t="n">
        <v>0.5</v>
      </c>
      <c r="J11" s="20" t="inlineStr">
        <is>
          <t>Đang làm</t>
        </is>
      </c>
      <c r="K11" s="21" t="inlineStr"/>
      <c r="L11" s="21" t="inlineStr">
        <is>
          <t>Code xong 25/10/2026: share card + caption dùng lil-dua.github.io/projects/oddly (Brand.WEBSITE_URL), bỏ handle @1percenthuman, giữ hashtag. Landing đã đăng (HTTP 200); bản thiết kế mới ở docs/landing/index.html cần đăng lại. Review APPROVE. Còn: QA thẻ share 9:16/1:1. Xem docs/plans/T-10_T-12.md.</t>
        </is>
      </c>
    </row>
    <row r="12">
      <c r="A12" s="17" t="inlineStr">
        <is>
          <t>T-11</t>
        </is>
      </c>
      <c r="B12" s="18" t="inlineStr">
        <is>
          <t>Store / Pháp lý</t>
        </is>
      </c>
      <c r="C12" s="18" t="inlineStr">
        <is>
          <t>Hoàn thiện &amp; host Privacy Policy</t>
        </is>
      </c>
      <c r="D12" s="17" t="inlineStr">
        <is>
          <t>Cả hai</t>
        </is>
      </c>
      <c r="E12" s="17" t="inlineStr">
        <is>
          <t>P0</t>
        </is>
      </c>
      <c r="F12" s="18" t="inlineStr">
        <is>
          <t>docs/privacy-policy.html còn [TÊN NHÀ PHÁT TRIỂN], [EMAIL LIÊN HỆ], [DEVELOPER NAME], [CONTACT EMAIL]. Cả 2 store bắt buộc URL privacy policy hoạt động.</t>
        </is>
      </c>
      <c r="G12" s="18" t="inlineStr">
        <is>
          <t>Điền thông tin, bật GitHub Pages cho /docs (hoặc host trên landing page), kiểm tra URL công khai; dán vào Play Console và App Store Connect.</t>
        </is>
      </c>
      <c r="H12" s="18" t="inlineStr">
        <is>
          <t>docs/privacy-policy.html</t>
        </is>
      </c>
      <c r="I12" s="19" t="n">
        <v>0.25</v>
      </c>
      <c r="J12" s="20" t="inlineStr">
        <is>
          <t>Xong</t>
        </is>
      </c>
      <c r="K12" s="21" t="inlineStr"/>
      <c r="L12" s="21" t="inlineStr">
        <is>
          <t>Xong 25/10/2026: điền nhà phát triển Lil Dua + email huuthom.it@gmail.com, host tại https://lil-dua.github.io/projects/oddly/privacy/privacy-policy.html (bản 19/10/2026, có backup/import/chẩn đoán). Nguồn: docs/privacy-policy.html — sửa xong phải đăng lại. Còn: dán URL vào Play Console / App Store Connect (T-16, T-17).</t>
        </is>
      </c>
    </row>
    <row r="13">
      <c r="A13" s="17" t="inlineStr">
        <is>
          <t>T-12</t>
        </is>
      </c>
      <c r="B13" s="18" t="inlineStr">
        <is>
          <t>Cài đặt</t>
        </is>
      </c>
      <c r="C13" s="18" t="inlineStr">
        <is>
          <t>Thêm mục Pháp lý / Hỗ trợ trong Settings</t>
        </is>
      </c>
      <c r="D13" s="17" t="inlineStr">
        <is>
          <t>Cả hai</t>
        </is>
      </c>
      <c r="E13" s="17" t="inlineStr">
        <is>
          <t>P1</t>
        </is>
      </c>
      <c r="F13" s="18" t="inlineStr">
        <is>
          <t>Settings chưa có: Chính sách quyền riêng tư, Liên hệ / Góp ý, Đánh giá ứng dụng. Phiên bản '1.0' bị viết cứng trong Strings (settingsFooter, aboutBody).</t>
        </is>
      </c>
      <c r="G13" s="18" t="inlineStr">
        <is>
          <t>Thêm các row mở URL policy, email liên hệ (hiển thị địa chỉ), link store. Lấy version từ BuildConfig.VERSION_NAME / CFBundleShortVersionString thay vì hardcode, truyền vào Strings dạng hàm.</t>
        </is>
      </c>
      <c r="H13" s="18" t="inlineStr">
        <is>
          <t>androidApp/src/main/kotlin/dev/lildua/oddly/ui/screens/settings/SettingsScreen.kt; iosApp/iosApp/Screens/Settings/SettingsScreen.swift; sharedLogic/src/commonMain/kotlin/dev/lildua/oddly/core/text/Strings.kt</t>
        </is>
      </c>
      <c r="I13" s="19" t="n">
        <v>0.5</v>
      </c>
      <c r="J13" s="20" t="inlineStr">
        <is>
          <t>Đang làm</t>
        </is>
      </c>
      <c r="K13" s="21" t="inlineStr"/>
      <c r="L13" s="21" t="inlineStr">
        <is>
          <t>Code xong 25/10/2026: mục "Hỗ trợ &amp; pháp lý" — Đánh giá (Android Play; iOS ẩn tới khi có APP_STORE_ID ở T-17), Liên hệ &amp; góp ý (email hiện dạng chữ), Chính sách quyền riêng tư, Giới thiệu (version từ build). Fallback sao chép địa chỉ khi không mở được. Review APPROVE. Còn: QA tay TalkBack/VoiceOver, điền APP_STORE_ID. Xem docs/plans/T-10_T-12.md.</t>
        </is>
      </c>
    </row>
    <row r="14">
      <c r="A14" s="17" t="inlineStr">
        <is>
          <t>T-13</t>
        </is>
      </c>
      <c r="B14" s="18" t="inlineStr">
        <is>
          <t>Dữ liệu</t>
        </is>
      </c>
      <c r="C14" s="18" t="inlineStr">
        <is>
          <t>Nhập (Import) dữ liệu &amp; sao lưu</t>
        </is>
      </c>
      <c r="D14" s="17" t="inlineStr">
        <is>
          <t>Cả hai</t>
        </is>
      </c>
      <c r="E14" s="17" t="inlineStr">
        <is>
          <t>P1</t>
        </is>
      </c>
      <c r="F14" s="18" t="inlineStr">
        <is>
          <t>Có Export JSON nhưng không có Import (OddlyRepository.importJson không được gọi) → đổi máy/cài lại là mất streak. allowBackup=true nhưng chưa khai báo dataExtractionRules/fullBackupContent (Android 12+).</t>
        </is>
      </c>
      <c r="G14" s="18" t="inlineStr">
        <is>
          <t>Thêm 'Nhập dữ liệu' (Android: ActivityResultContracts.OpenDocument; iOS: fileImporter) có xác nhận ghi đè. Thêm res/xml/data_extraction_rules.xml + backup_rules.xml: include prefs 'oddly' &amp; 'reminder', exclude cache. Xác nhận UserDefaults được iCloud backup trên iOS.</t>
        </is>
      </c>
      <c r="H14" s="18" t="inlineStr">
        <is>
          <t>androidApp/src/main/kotlin/dev/lildua/oddly/ui/screens/settings/; androidApp/src/main/AndroidManifest.xml; iosApp/iosApp/Screens/Settings/SettingsScreen.swift</t>
        </is>
      </c>
      <c r="I14" s="19" t="n">
        <v>1</v>
      </c>
      <c r="J14" s="20" t="inlineStr">
        <is>
          <t>Đang làm</t>
        </is>
      </c>
      <c r="K14" s="21" t="inlineStr"/>
      <c r="L14" s="21" t="inlineStr">
        <is>
          <t>Code xong 19/10/2026: "Nhập dữ liệu" ở Settings (OpenDocument / fileImporter, giới hạn 5 MB, xác nhận ghi đè kèm tóm tắt, thay toàn bộ dữ liệu), data_extraction_rules + backup_rules (oddly.xml, reminder.xml), privacy policy/store listing cập nhật. Review APPROVE sau 1 vòng sửa. Còn QA tay (bmgr, R8, alert iOS): xem docs/plans/T-13.md.</t>
        </is>
      </c>
    </row>
    <row r="15">
      <c r="A15" s="17" t="inlineStr">
        <is>
          <t>T-14</t>
        </is>
      </c>
      <c r="B15" s="18" t="inlineStr">
        <is>
          <t>Store / Android</t>
        </is>
      </c>
      <c r="C15" s="18" t="inlineStr">
        <is>
          <t>Tạo upload key &amp; Play App Signing</t>
        </is>
      </c>
      <c r="D15" s="17" t="inlineStr">
        <is>
          <t>Android</t>
        </is>
      </c>
      <c r="E15" s="17" t="inlineStr">
        <is>
          <t>P0</t>
        </is>
      </c>
      <c r="F15" s="18" t="inlineStr">
        <is>
          <t>Chưa có keystore.properties / upload.jks → build release hiện unsigned.</t>
        </is>
      </c>
      <c r="G15" s="18" t="inlineStr">
        <is>
          <t>Tạo upload key theo keystore.properties.example, enroll Play App Signing, sao lưu key + mật khẩu ở 2 nơi an toàn (mất key = không update được). Build bundleRelease và cài thử qua bundletool.</t>
        </is>
      </c>
      <c r="H15" s="18" t="inlineStr">
        <is>
          <t>androidApp/build.gradle.kts; keystore.properties.example</t>
        </is>
      </c>
      <c r="I15" s="19" t="n">
        <v>0.25</v>
      </c>
      <c r="J15" s="20" t="inlineStr">
        <is>
          <t>Chưa làm</t>
        </is>
      </c>
      <c r="K15" s="21" t="inlineStr"/>
      <c r="L15" s="21" t="inlineStr"/>
    </row>
    <row r="16">
      <c r="A16" s="17" t="inlineStr">
        <is>
          <t>T-15</t>
        </is>
      </c>
      <c r="B16" s="18" t="inlineStr">
        <is>
          <t>Store / Android</t>
        </is>
      </c>
      <c r="C16" s="18" t="inlineStr">
        <is>
          <t>Tài khoản Play Console &amp; yêu cầu closed testing</t>
        </is>
      </c>
      <c r="D16" s="17" t="inlineStr">
        <is>
          <t>Android</t>
        </is>
      </c>
      <c r="E16" s="17" t="inlineStr">
        <is>
          <t>P0</t>
        </is>
      </c>
      <c r="F16" s="18" t="inlineStr">
        <is>
          <t>Tài khoản nhà phát triển cá nhân mới trên Google Play phải chạy closed test với ít nhất 12 tester liên tục 14 ngày trước khi được xin production.</t>
        </is>
      </c>
      <c r="G16" s="18" t="inlineStr">
        <is>
          <t>Đăng ký tài khoản, xác minh danh tính, tạo app, chạy Internal → Closed testing (12+ tester, 14 ngày). Tận dụng giai đoạn này để thu feedback &amp; crash. Lên kế hoạch thời gian release tương ứng.</t>
        </is>
      </c>
      <c r="H16" s="18" t="inlineStr"/>
      <c r="I16" s="19" t="n">
        <v>1</v>
      </c>
      <c r="J16" s="20" t="inlineStr">
        <is>
          <t>Chưa làm</t>
        </is>
      </c>
      <c r="K16" s="21" t="inlineStr"/>
      <c r="L16" s="21" t="inlineStr"/>
    </row>
    <row r="17">
      <c r="A17" s="17" t="inlineStr">
        <is>
          <t>T-16</t>
        </is>
      </c>
      <c r="B17" s="18" t="inlineStr">
        <is>
          <t>Store / Android</t>
        </is>
      </c>
      <c r="C17" s="18" t="inlineStr">
        <is>
          <t>Điền form Play Console</t>
        </is>
      </c>
      <c r="D17" s="17" t="inlineStr">
        <is>
          <t>Android</t>
        </is>
      </c>
      <c r="E17" s="17" t="inlineStr">
        <is>
          <t>P0</t>
        </is>
      </c>
      <c r="F17" s="18" t="inlineStr">
        <is>
          <t>Data safety, Content rating (IARC), Target audience, App access, Ads, News app, Health apps declaration (app nằm ở Health &amp; Fitness).</t>
        </is>
      </c>
      <c r="G17" s="18" t="inlineStr">
        <is>
          <t>Dùng câu trả lời có sẵn trong docs/store-listing.md. Lưu ý: nếu thêm crash reporting (T-22) thì phải sửa lại Data safety.</t>
        </is>
      </c>
      <c r="H17" s="18" t="inlineStr">
        <is>
          <t>docs/store-listing.md</t>
        </is>
      </c>
      <c r="I17" s="19" t="n">
        <v>0.5</v>
      </c>
      <c r="J17" s="20" t="inlineStr">
        <is>
          <t>Chưa làm</t>
        </is>
      </c>
      <c r="K17" s="21" t="inlineStr"/>
      <c r="L17" s="21" t="inlineStr"/>
    </row>
    <row r="18">
      <c r="A18" s="17" t="inlineStr">
        <is>
          <t>T-17</t>
        </is>
      </c>
      <c r="B18" s="18" t="inlineStr">
        <is>
          <t>Store / iOS</t>
        </is>
      </c>
      <c r="C18" s="18" t="inlineStr">
        <is>
          <t>Apple Developer, TEAM_ID &amp; App Store Connect</t>
        </is>
      </c>
      <c r="D18" s="17" t="inlineStr">
        <is>
          <t>iOS</t>
        </is>
      </c>
      <c r="E18" s="17" t="inlineStr">
        <is>
          <t>P0</t>
        </is>
      </c>
      <c r="F18" s="18" t="inlineStr">
        <is>
          <t>TEAM_ID trong Config.xcconfig đang để trống; chưa có App ID / record trên App Store Connect.</t>
        </is>
      </c>
      <c r="G18" s="18" t="inlineStr">
        <is>
          <t>Đăng ký Apple Developer Program, tạo App ID dev.lildua.oddly, điền TEAM_ID (không commit nếu repo public — dùng xcconfig local), archive, upload, TestFlight. Điền App Privacy (Data Not Collected), age rating, category.</t>
        </is>
      </c>
      <c r="H18" s="18" t="inlineStr">
        <is>
          <t>iosApp/Configuration/Config.xcconfig</t>
        </is>
      </c>
      <c r="I18" s="19" t="n">
        <v>1</v>
      </c>
      <c r="J18" s="20" t="inlineStr">
        <is>
          <t>Chưa làm</t>
        </is>
      </c>
      <c r="K18" s="21" t="inlineStr"/>
      <c r="L18" s="21" t="inlineStr"/>
    </row>
    <row r="19">
      <c r="A19" s="17" t="inlineStr">
        <is>
          <t>T-18</t>
        </is>
      </c>
      <c r="B19" s="18" t="inlineStr">
        <is>
          <t>Store / iOS</t>
        </is>
      </c>
      <c r="C19" s="18" t="inlineStr">
        <is>
          <t>Hạ iOS deployment target</t>
        </is>
      </c>
      <c r="D19" s="17" t="inlineStr">
        <is>
          <t>iOS</t>
        </is>
      </c>
      <c r="E19" s="17" t="inlineStr">
        <is>
          <t>P1</t>
        </is>
      </c>
      <c r="F19" s="18" t="inlineStr">
        <is>
          <t>IPHONEOS_DEPLOYMENT_TARGET = 18.2 loại bỏ người dùng iOS 17. @Observable chỉ yêu cầu iOS 17.</t>
        </is>
      </c>
      <c r="G19" s="18" t="inlineStr">
        <is>
          <t>Hạ xuống 17.0, build &amp; kiểm tra các API dùng (sensoryFeedback, ImageRenderer, ShareLink, Observation đều có từ 17).</t>
        </is>
      </c>
      <c r="H19" s="18" t="inlineStr">
        <is>
          <t>iosApp/iosApp.xcodeproj/project.pbxproj</t>
        </is>
      </c>
      <c r="I19" s="19" t="n">
        <v>0.5</v>
      </c>
      <c r="J19" s="20" t="inlineStr">
        <is>
          <t>Đang làm</t>
        </is>
      </c>
      <c r="K19" s="21" t="inlineStr"/>
      <c r="L19" s="21" t="inlineStr">
        <is>
          <t>Code xong 19/10/2026: IPHONEOS_DEPLOYMENT_TARGET 18.2 → 17.0, không dùng API iOS 18. Review APPROVE. Còn QA tay trên máy/simulator iOS 17 (SwipeBack, fileImporter, ShareLink): xem docs/plans/T-28_T-18_T-22.md.</t>
        </is>
      </c>
    </row>
    <row r="20">
      <c r="A20" s="17" t="inlineStr">
        <is>
          <t>T-19</t>
        </is>
      </c>
      <c r="B20" s="18" t="inlineStr">
        <is>
          <t>Store / Asset</t>
        </is>
      </c>
      <c r="C20" s="18" t="inlineStr">
        <is>
          <t>Ảnh chụp màn hình &amp; đồ họa store</t>
        </is>
      </c>
      <c r="D20" s="17" t="inlineStr">
        <is>
          <t>Cả hai</t>
        </is>
      </c>
      <c r="E20" s="17" t="inlineStr">
        <is>
          <t>P0</t>
        </is>
      </c>
      <c r="F20" s="18" t="inlineStr">
        <is>
          <t>Chưa có screenshots / feature graphic. store-listing.md đã có kế hoạch ảnh.</t>
        </is>
      </c>
      <c r="G20" s="18" t="inlineStr">
        <is>
          <t>Play: icon 512×512, feature graphic 1024×500, 4–8 ảnh điện thoại (vi + en). App Store: ảnh 6.9" (và 6.5" nếu cần), vi + en. Nên có khung + caption marketing thay vì ảnh trần.</t>
        </is>
      </c>
      <c r="H20" s="18" t="inlineStr">
        <is>
          <t>docs/store-listing.md</t>
        </is>
      </c>
      <c r="I20" s="19" t="n">
        <v>1.5</v>
      </c>
      <c r="J20" s="20" t="inlineStr">
        <is>
          <t>Chưa làm</t>
        </is>
      </c>
      <c r="K20" s="21" t="inlineStr"/>
      <c r="L20" s="21" t="inlineStr"/>
    </row>
    <row r="21">
      <c r="A21" s="17" t="inlineStr">
        <is>
          <t>T-20</t>
        </is>
      </c>
      <c r="B21" s="18" t="inlineStr">
        <is>
          <t>QA</t>
        </is>
      </c>
      <c r="C21" s="18" t="inlineStr">
        <is>
          <t>Kiểm thử bản release (R8) trên thiết bị thật</t>
        </is>
      </c>
      <c r="D21" s="17" t="inlineStr">
        <is>
          <t>Android</t>
        </is>
      </c>
      <c r="E21" s="17" t="inlineStr">
        <is>
          <t>P0</t>
        </is>
      </c>
      <c r="F21" s="18" t="inlineStr">
        <is>
          <t>R8 + shrink resources bật; kotlinx.serialization dễ bị strip khiến lưu/đọc dữ liệu hỏng âm thầm.</t>
        </is>
      </c>
      <c r="G21" s="18" t="inlineStr">
        <is>
          <t>Cài bản release (từ .aab qua bundletool), kiểm tra: lưu → kill app → mở lại, export JSON, share ảnh, thông báo, reboot. Kiểm tra mapping.txt được upload lên Play Console để deobfuscate crash.</t>
        </is>
      </c>
      <c r="H21" s="18" t="inlineStr">
        <is>
          <t>androidApp/proguard-rules.pro</t>
        </is>
      </c>
      <c r="I21" s="19" t="n">
        <v>0.5</v>
      </c>
      <c r="J21" s="20" t="inlineStr">
        <is>
          <t>Chưa làm</t>
        </is>
      </c>
      <c r="K21" s="21" t="inlineStr"/>
      <c r="L21" s="21" t="inlineStr"/>
    </row>
    <row r="22">
      <c r="A22" s="17" t="inlineStr">
        <is>
          <t>T-21</t>
        </is>
      </c>
      <c r="B22" s="18" t="inlineStr">
        <is>
          <t>QA</t>
        </is>
      </c>
      <c r="C22" s="18" t="inlineStr">
        <is>
          <t>Ma trận thiết bị &amp; độ tin cậy lời nhắc</t>
        </is>
      </c>
      <c r="D22" s="17" t="inlineStr">
        <is>
          <t>Cả hai</t>
        </is>
      </c>
      <c r="E22" s="17" t="inlineStr">
        <is>
          <t>P0</t>
        </is>
      </c>
      <c r="F22" s="18" t="inlineStr">
        <is>
          <t>minSdk 24 (Android 7) → 16; OEM như Xiaomi/Oppo/Vivo/Samsung hay kill alarm (Doze, battery saver). Chưa có checklist QA.</t>
        </is>
      </c>
      <c r="G22" s="18" t="inlineStr">
        <is>
          <t>Test tối thiểu: Android 7, 10, 13 (POST_NOTIFICATIONS), 14/15/16; 1–2 máy Xiaomi/Oppo; iPhone SE (màn nhỏ) + iPhone Pro Max. Viết test case cho onboarding, hoàn thành, đổi thử thách, qua nửa đêm, đổi ngôn ngữ/theme, xóa dữ liệu, từ chối quyền. Cân nhắc hướng dẫn tắt tối ưu pin trên OEM.</t>
        </is>
      </c>
      <c r="H22" s="18" t="inlineStr"/>
      <c r="I22" s="19" t="n">
        <v>2</v>
      </c>
      <c r="J22" s="20" t="inlineStr">
        <is>
          <t>Chưa làm</t>
        </is>
      </c>
      <c r="K22" s="21" t="inlineStr"/>
      <c r="L22" s="21" t="inlineStr"/>
    </row>
    <row r="23">
      <c r="A23" s="17" t="inlineStr">
        <is>
          <t>T-22</t>
        </is>
      </c>
      <c r="B23" s="18" t="inlineStr">
        <is>
          <t>Giám sát</t>
        </is>
      </c>
      <c r="C23" s="18" t="inlineStr">
        <is>
          <t>Crash reporting</t>
        </is>
      </c>
      <c r="D23" s="17" t="inlineStr">
        <is>
          <t>Cả hai</t>
        </is>
      </c>
      <c r="E23" s="17" t="inlineStr">
        <is>
          <t>P1</t>
        </is>
      </c>
      <c r="F23" s="18" t="inlineStr">
        <is>
          <t>Không có crash reporting. App không có quyền INTERNET; thêm SDK sẽ phải sửa Data safety, App Privacy và privacy policy.</t>
        </is>
      </c>
      <c r="G23" s="18" t="inlineStr">
        <is>
          <t>Phương án tối thiểu (giữ cam kết offline): dựa vào Android Vitals (Play Console) + Xcode Organizer/TestFlight crash. Nếu cần chi tiết hơn: Sentry/Crashlytics, opt-in, cập nhật policy &amp; khai báo store.</t>
        </is>
      </c>
      <c r="H23" s="18" t="inlineStr">
        <is>
          <t>androidApp/build.gradle.kts; docs/privacy-policy.html</t>
        </is>
      </c>
      <c r="I23" s="19" t="n">
        <v>0.5</v>
      </c>
      <c r="J23" s="20" t="inlineStr">
        <is>
          <t>Xong</t>
        </is>
      </c>
      <c r="K23" s="21" t="inlineStr"/>
      <c r="L23" s="21" t="inlineStr">
        <is>
          <t>Xong 19/10/2026 (phương án tối thiểu): không thêm SDK, giám sát qua Android Vitals + Xcode Organizer/TestFlight, ghi trong docs/release-process.md; privacy policy thêm câu về báo cáo chẩn đoán của hệ điều hành. Data safety/App Privacy không đổi.</t>
        </is>
      </c>
    </row>
    <row r="24">
      <c r="A24" s="17" t="inlineStr">
        <is>
          <t>T-23</t>
        </is>
      </c>
      <c r="B24" s="18" t="inlineStr">
        <is>
          <t>Accessibility</t>
        </is>
      </c>
      <c r="C24" s="18" t="inlineStr">
        <is>
          <t>Hỗ trợ trình đọc màn hình &amp; cỡ chữ lớn</t>
        </is>
      </c>
      <c r="D24" s="17" t="inlineStr">
        <is>
          <t>Cả hai</t>
        </is>
      </c>
      <c r="E24" s="17" t="inlineStr">
        <is>
          <t>P1</t>
        </is>
      </c>
      <c r="F24" s="18" t="inlineStr">
        <is>
          <t>0 contentDescription trên Android, 0 accessibilityLabel trên iOS; 28 chỗ dùng clickableNoRipple không khai báo role. Icon/ảnh vẽ bằng Canvas không có mô tả. TalkBack/VoiceOver gần như không dùng được.</t>
        </is>
      </c>
      <c r="G24" s="18" t="inlineStr">
        <is>
          <t>Thêm semantics (contentDescription, role = Button, mergeDescendants) cho icon button, thẻ, dải tuần, biểu đồ; iOS accessibilityLabel/Element. Test với font scale 1.3–2.0 &amp; Dynamic Type, kiểm tra tương phản màu chữ phụ trên nền tối.</t>
        </is>
      </c>
      <c r="H24" s="18" t="inlineStr">
        <is>
          <t>androidApp/src/main/kotlin/dev/lildua/oddly/ui/components/; iosApp/iosApp/Components/</t>
        </is>
      </c>
      <c r="I24" s="19" t="n">
        <v>2</v>
      </c>
      <c r="J24" s="20" t="inlineStr">
        <is>
          <t>Đang làm</t>
        </is>
      </c>
      <c r="K24" s="21" t="inlineStr"/>
      <c r="L24" s="21" t="inlineStr">
        <is>
          <t>Code xong 24/10/2026: T-23A nhãn/vai trò/heading/live region/vùng chạm (TalkBack + VoiceOver); T-23B Dynamic Type iOS, cuộn 6 màn, giới hạn cỡ chữ, màu chữ đạt WCAG AA (PaletteSpec dùng chung). Review APPROVE. Còn: QA tay TalkBack/VoiceOver + font scale; T-23C (neon thương hiệu làm chữ trên theme Sáng) cần duyệt bảng màu. Xem docs/plans/T-23A.md, T-23B.md.</t>
        </is>
      </c>
    </row>
    <row r="25">
      <c r="A25" s="17" t="inlineStr">
        <is>
          <t>T-24</t>
        </is>
      </c>
      <c r="B25" s="18" t="inlineStr">
        <is>
          <t>Chất lượng</t>
        </is>
      </c>
      <c r="C25" s="18" t="inlineStr">
        <is>
          <t>UI test &amp; smoke test</t>
        </is>
      </c>
      <c r="D25" s="17" t="inlineStr">
        <is>
          <t>Cả hai</t>
        </is>
      </c>
      <c r="E25" s="17" t="inlineStr">
        <is>
          <t>P1</t>
        </is>
      </c>
      <c r="F25" s="18" t="inlineStr">
        <is>
          <t>androidApp không có test/androidTest; iOS không có UI test. Mới chỉ có unit test sharedLogic.</t>
        </is>
      </c>
      <c r="G25" s="18" t="inlineStr">
        <is>
          <t>Android: Compose UI test cho luồng onboarding → hoàn thành → phần thưởng → Journey. iOS: XCUITest smoke tương tự. Thêm test cho T-01, T-02, T-03 khi sửa.</t>
        </is>
      </c>
      <c r="H25" s="18" t="inlineStr">
        <is>
          <t>androidApp/src/androidTest (mới); iosApp (target test mới)</t>
        </is>
      </c>
      <c r="I25" s="19" t="n">
        <v>2</v>
      </c>
      <c r="J25" s="20" t="inlineStr">
        <is>
          <t>Xong</t>
        </is>
      </c>
      <c r="K25" s="21" t="inlineStr"/>
      <c r="L25" s="21" t="inlineStr">
        <is>
          <t>Xong 24/10/2026: Android 6 Compose UI test trên emulator (smoke onboarding → hoàn thành → thưởng → Journey, T-01 giờ hoàn thành, T-02 đổi ngày ×2, T-03 một hoàn thành/ngày ×2); iOS 5 XCUITest cùng kịch bản (trừ T-01). Id dùng chung UiTestTags, đồng hồ ghim Today.pinForTesting, hook chỉ DEBUG. Review APPROVE. Lệnh chạy trong .claude/CLAUDE.md. Xem docs/plans/T-24.md.</t>
        </is>
      </c>
    </row>
    <row r="26">
      <c r="A26" s="17" t="inlineStr">
        <is>
          <t>T-25</t>
        </is>
      </c>
      <c r="B26" s="18" t="inlineStr">
        <is>
          <t>Chất lượng</t>
        </is>
      </c>
      <c r="C26" s="18" t="inlineStr">
        <is>
          <t>CI build &amp; test</t>
        </is>
      </c>
      <c r="D26" s="17" t="inlineStr">
        <is>
          <t>Cả hai</t>
        </is>
      </c>
      <c r="E26" s="17" t="inlineStr">
        <is>
          <t>P2</t>
        </is>
      </c>
      <c r="F26" s="18" t="inlineStr">
        <is>
          <t>Chưa có CI.</t>
        </is>
      </c>
      <c r="G26" s="18" t="inlineStr">
        <is>
          <t>GitHub Actions: chạy :sharedLogic:testAndroidHostTest + iosSimulatorArm64Test, assembleRelease, xcodebuild build; lint. Tùy chọn Fastlane để upload.</t>
        </is>
      </c>
      <c r="H26" s="18" t="inlineStr">
        <is>
          <t>.github/workflows (mới)</t>
        </is>
      </c>
      <c r="I26" s="19" t="n">
        <v>1</v>
      </c>
      <c r="J26" s="20" t="inlineStr">
        <is>
          <t>Chưa làm</t>
        </is>
      </c>
      <c r="K26" s="21" t="inlineStr"/>
      <c r="L26" s="21" t="inlineStr"/>
    </row>
    <row r="27">
      <c r="A27" s="17" t="inlineStr">
        <is>
          <t>T-26</t>
        </is>
      </c>
      <c r="B27" s="18" t="inlineStr">
        <is>
          <t>Nội dung</t>
        </is>
      </c>
      <c r="C27" s="18" t="inlineStr">
        <is>
          <t>Tăng nội dung thử thách &amp; quote</t>
        </is>
      </c>
      <c r="D27" s="17" t="inlineStr">
        <is>
          <t>Shared</t>
        </is>
      </c>
      <c r="E27" s="17" t="inlineStr">
        <is>
          <t>P1</t>
        </is>
      </c>
      <c r="F27" s="18" t="inlineStr">
        <is>
          <t>120 thử thách (spec beta ~240). Chỉ 12 quote → câu trong ngày lặp lại sau 12 ngày, người dùng nhận ra ngay tuần thứ 2.</t>
        </is>
      </c>
      <c r="G27" s="18" t="inlineStr">
        <is>
          <t>Mục tiêu v1.0: ≥ 60 quote, ≥ 180–240 thử thách cân đối độ khó (đặc biệt Khó cho level ≥ 9). SeedContentTest đã kiểm tra toàn vẹn.</t>
        </is>
      </c>
      <c r="H27" s="18" t="inlineStr">
        <is>
          <t>sharedLogic/src/commonMain/kotlin/dev/lildua/oddly/data/seed/ChallengeSeed.kt; QuoteSeed.kt</t>
        </is>
      </c>
      <c r="I27" s="19" t="n">
        <v>3</v>
      </c>
      <c r="J27" s="20" t="inlineStr">
        <is>
          <t>Đang làm</t>
        </is>
      </c>
      <c r="K27" s="21" t="inlineStr"/>
      <c r="L27" s="21" t="inlineStr">
        <is>
          <t>Code xong 24/10/2026: quote 12 → 60 (T-26A), thử thách 120 → 216 (T-26B1 +47 Khó, T-26B2 +29 Dễ +20 Vừa; mỗi ô lĩnh vực × độ khó 12, mỗi lĩnh vực 36). Review APPROVE. Còn: duyệt docs/content-review.md + docs/content-review-challenges.md, thêm 96 id mới vào PublishedContent.kt trước khi phát hành, QA tay. Xem docs/plans/T-26A.md, T-26B1.md, T-26B2.md.</t>
        </is>
      </c>
    </row>
    <row r="28">
      <c r="A28" s="17" t="inlineStr">
        <is>
          <t>T-27</t>
        </is>
      </c>
      <c r="B28" s="18" t="inlineStr">
        <is>
          <t>Nội dung / Pháp lý</t>
        </is>
      </c>
      <c r="C28" s="18" t="inlineStr">
        <is>
          <t>Rà soát nội dung &amp; bản quyền trích dẫn</t>
        </is>
      </c>
      <c r="D28" s="17" t="inlineStr">
        <is>
          <t>Shared</t>
        </is>
      </c>
      <c r="E28" s="17" t="inlineStr">
        <is>
          <t>P1</t>
        </is>
      </c>
      <c r="F28" s="18" t="inlineStr">
        <is>
          <t>Cần người bản xứ đọc lại vi/en; một số quote của tác giả còn bản quyền (VD James Clear). Kiểm tra tên '1% HUMAN' có trùng nhãn hiệu / app khác trên store.</t>
        </is>
      </c>
      <c r="G28" s="18" t="inlineStr">
        <is>
          <t>Review ngôn ngữ, kiểm tra nguồn gốc &amp; attribution quote, tra cứu nhãn hiệu và tên app trên 2 store trước khi in lên marketing.</t>
        </is>
      </c>
      <c r="H28" s="18" t="inlineStr">
        <is>
          <t>sharedLogic/src/commonMain/kotlin/dev/lildua/oddly/data/seed/QuoteSeed.kt</t>
        </is>
      </c>
      <c r="I28" s="19" t="n">
        <v>1</v>
      </c>
      <c r="J28" s="20" t="inlineStr">
        <is>
          <t>Chưa làm</t>
        </is>
      </c>
      <c r="K28" s="21" t="inlineStr"/>
      <c r="L28" s="21" t="inlineStr">
        <is>
          <t>Danh sách quote CẦN XÁC MINH nguồn + backlog nằm ở docs/content-review.md (mục Backlog T-27), lập trong đợt T-26A 19/10/2026.</t>
        </is>
      </c>
    </row>
    <row r="29">
      <c r="A29" s="17" t="inlineStr">
        <is>
          <t>T-28</t>
        </is>
      </c>
      <c r="B29" s="18" t="inlineStr">
        <is>
          <t>Release</t>
        </is>
      </c>
      <c r="C29" s="18" t="inlineStr">
        <is>
          <t>Chiến lược version</t>
        </is>
      </c>
      <c r="D29" s="17" t="inlineStr">
        <is>
          <t>Cả hai</t>
        </is>
      </c>
      <c r="E29" s="17" t="inlineStr">
        <is>
          <t>P1</t>
        </is>
      </c>
      <c r="F29" s="18" t="inlineStr">
        <is>
          <t>versionCode=1 / CURRENT_PROJECT_VERSION=1 viết tay; version '1.0' lặp lại trong Strings.</t>
        </is>
      </c>
      <c r="G29" s="18" t="inlineStr">
        <is>
          <t>Đặt 1 nguồn version (gradle.properties hoặc libs.versions.toml) và tự tăng build number (CI hoặc script). Viết release notes song ngữ cho từng bản.</t>
        </is>
      </c>
      <c r="H29" s="18" t="inlineStr">
        <is>
          <t>androidApp/build.gradle.kts; iosApp/Configuration/Config.xcconfig</t>
        </is>
      </c>
      <c r="I29" s="19" t="n">
        <v>0.25</v>
      </c>
      <c r="J29" s="20" t="inlineStr">
        <is>
          <t>Xong</t>
        </is>
      </c>
      <c r="K29" s="21" t="inlineStr"/>
      <c r="L29" s="21" t="inlineStr">
        <is>
          <t>Xong 19/10/2026: nguồn version duy nhất iosApp/Configuration/Version.xcconfig (Gradle + Xcode cùng đọc), script tools/bump-version.sh, Android/iOS dùng chung build number, release notes song ngữ ở store-listing.md mục 6. Review APPROVE. Xem docs/plans/T-28_T-18_T-22.md.</t>
        </is>
      </c>
    </row>
    <row r="30">
      <c r="A30" s="17" t="inlineStr">
        <is>
          <t>T-29</t>
        </is>
      </c>
      <c r="B30" s="18" t="inlineStr">
        <is>
          <t>UI</t>
        </is>
      </c>
      <c r="C30" s="18" t="inlineStr">
        <is>
          <t>Android 12+ hiện 2 lớp splash</t>
        </is>
      </c>
      <c r="D30" s="17" t="inlineStr">
        <is>
          <t>Android</t>
        </is>
      </c>
      <c r="E30" s="17" t="inlineStr">
        <is>
          <t>P1</t>
        </is>
      </c>
      <c r="F30" s="18" t="inlineStr">
        <is>
          <t>Từ Android 12, hệ thống luôn hiện system splash (icon trên nền) trước khi SplashScreen tự vẽ xuất hiện → người dùng thấy 2 splash liên tiếp.</t>
        </is>
      </c>
      <c r="G30" s="18" t="inlineStr">
        <is>
          <t>Dùng androidx.core:core-splashscreen (installSplashScreen) với nền #07070C + icon, giữ splash hệ thống tới khi state load xong và bỏ/rút ngắn splash Compose. Lưu ý ràng buộc AGP/compileSdk trong README.</t>
        </is>
      </c>
      <c r="H30" s="18" t="inlineStr">
        <is>
          <t>androidApp/src/main/kotlin/dev/lildua/oddly/MainActivity.kt; androidApp/src/main/res/values/themes.xml; androidApp/src/main/kotlin/dev/lildua/oddly/ui/screens/onboarding/SplashScreen.kt</t>
        </is>
      </c>
      <c r="I30" s="19" t="n">
        <v>0.5</v>
      </c>
      <c r="J30" s="20" t="inlineStr">
        <is>
          <t>Đang làm</t>
        </is>
      </c>
      <c r="K30" s="21" t="inlineStr"/>
      <c r="L30" s="21" t="inlineStr">
        <is>
          <t>Code xong 19/10/2026: Android dùng core-splashscreen 1.2.0, bỏ màn splash Compose (Android mất tagline, iOS giữ). Review APPROVE. Còn QA tay (một splash, icon API 24–25, bản R8): xem docs/plans/T-07_T-29.md.</t>
        </is>
      </c>
    </row>
    <row r="31">
      <c r="A31" s="17" t="inlineStr">
        <is>
          <t>T-30</t>
        </is>
      </c>
      <c r="B31" s="18" t="inlineStr">
        <is>
          <t>Dọn dẹp</t>
        </is>
      </c>
      <c r="C31" s="18" t="inlineStr">
        <is>
          <t>Xóa module sharedUI chết &amp; cập nhật README</t>
        </is>
      </c>
      <c r="D31" s="17" t="inlineStr">
        <is>
          <t>Repo</t>
        </is>
      </c>
      <c r="E31" s="17" t="inlineStr">
        <is>
          <t>P2</t>
        </is>
      </c>
      <c r="F31" s="18" t="inlineStr">
        <is>
          <t>sharedUI không có trong settings.gradle.kts, build file tham chiếu alias không tồn tại (composeMultiplatform, lifecycle...). README/comment còn nói 'persistence là gap', 'daily pick chưa persist', 'Room repositories' → lỗi thời, gây hiểu nhầm.</t>
        </is>
      </c>
      <c r="G31" s="18" t="inlineStr">
        <is>
          <t>Xóa thư mục sharedUI (không module nào tham chiếu tới, kể cả SystemBackHandler — app dùng BackHandler trực tiếp), sửa đầu README, comment trong ReminderScheduler/ReminderStore/README phần Daily reminder.</t>
        </is>
      </c>
      <c r="H31" s="18" t="inlineStr">
        <is>
          <t>sharedUI/; README.md; androidApp/src/main/kotlin/dev/lildua/oddly/notifications/ReminderStore.kt</t>
        </is>
      </c>
      <c r="I31" s="19" t="n">
        <v>0.25</v>
      </c>
      <c r="J31" s="20" t="inlineStr">
        <is>
          <t>Chưa làm</t>
        </is>
      </c>
      <c r="K31" s="21" t="inlineStr"/>
      <c r="L31" s="21" t="inlineStr"/>
    </row>
    <row r="32">
      <c r="A32" s="17" t="inlineStr">
        <is>
          <t>T-31</t>
        </is>
      </c>
      <c r="B32" s="18" t="inlineStr">
        <is>
          <t>Hiệu năng</t>
        </is>
      </c>
      <c r="C32" s="18" t="inlineStr">
        <is>
          <t>Memo hóa giá trị dẫn xuất</t>
        </is>
      </c>
      <c r="D32" s="17" t="inlineStr">
        <is>
          <t>Cả hai</t>
        </is>
      </c>
      <c r="E32" s="17" t="inlineStr">
        <is>
          <t>P2</t>
        </is>
      </c>
      <c r="F32" s="18" t="inlineStr">
        <is>
          <t>streak, weekActivity, exploredCategoryCount, stats được tính lại mỗi lần truy cập/recompose; ChallengeSelector dùng library.firstOrNull trong vòng lặp (O(n×m)). Ổn với dữ liệu nhỏ nhưng tăng dần theo năm.</t>
        </is>
      </c>
      <c r="G32" s="18" t="inlineStr">
        <is>
          <t>Dùng derivedStateOf (Android) / cache theo completions.count (iOS), ChallengeSeed.byId hiện là all.firstOrNull (quét tuyến tính) → đổi sang Map id→Challenge, dùng chung trong selector và StatsCalculator.</t>
        </is>
      </c>
      <c r="H32" s="18" t="inlineStr">
        <is>
          <t>androidApp/src/main/kotlin/dev/lildua/oddly/ui/state/OddlyAppState.kt; sharedLogic/src/commonMain/kotlin/dev/lildua/oddly/domain/usecase/ChallengeSelector.kt</t>
        </is>
      </c>
      <c r="I32" s="19" t="n">
        <v>0.5</v>
      </c>
      <c r="J32" s="20" t="inlineStr">
        <is>
          <t>Chưa làm</t>
        </is>
      </c>
      <c r="K32" s="21" t="inlineStr"/>
      <c r="L32" s="21" t="inlineStr"/>
    </row>
    <row r="33">
      <c r="A33" s="17" t="inlineStr">
        <is>
          <t>T-32</t>
        </is>
      </c>
      <c r="B33" s="18" t="inlineStr">
        <is>
          <t>Tăng trưởng</t>
        </is>
      </c>
      <c r="C33" s="18" t="inlineStr">
        <is>
          <t>Lời mời đánh giá trong app</t>
        </is>
      </c>
      <c r="D33" s="17" t="inlineStr">
        <is>
          <t>Cả hai</t>
        </is>
      </c>
      <c r="E33" s="17" t="inlineStr">
        <is>
          <t>P2</t>
        </is>
      </c>
      <c r="F33" s="18" t="inlineStr">
        <is>
          <t>Chưa có cơ chế xin đánh giá — rating ban đầu quyết định thứ hạng store.</t>
        </is>
      </c>
      <c r="G33" s="18" t="inlineStr">
        <is>
          <t>Play In-App Review API / SKStoreReviewController.requestReview sau mốc tích cực (streak 7, level up), tối đa 1 lần/quý.</t>
        </is>
      </c>
      <c r="H33" s="18" t="inlineStr"/>
      <c r="I33" s="19" t="n">
        <v>0.5</v>
      </c>
      <c r="J33" s="20" t="inlineStr">
        <is>
          <t>Chưa làm</t>
        </is>
      </c>
      <c r="K33" s="21" t="inlineStr"/>
      <c r="L33" s="21" t="inlineStr"/>
    </row>
    <row r="34">
      <c r="A34" s="17" t="inlineStr">
        <is>
          <t>T-33</t>
        </is>
      </c>
      <c r="B34" s="18" t="inlineStr">
        <is>
          <t>Tính năng</t>
        </is>
      </c>
      <c r="C34" s="18" t="inlineStr">
        <is>
          <t>Widget màn hình chính (S17)</t>
        </is>
      </c>
      <c r="D34" s="17" t="inlineStr">
        <is>
          <t>Cả hai</t>
        </is>
      </c>
      <c r="E34" s="17" t="inlineStr">
        <is>
          <t>P2</t>
        </is>
      </c>
      <c r="F34" s="18" t="inlineStr">
        <is>
          <t>Spec có S17 widget nhưng chưa làm. Widget streak/thử thách hôm nay giúp giữ chân mạnh.</t>
        </is>
      </c>
      <c r="G34" s="18" t="inlineStr">
        <is>
          <t>Android Glance widget, iOS WidgetKit (cần App Group để chia sẻ UserDefaults). Để v1.1.</t>
        </is>
      </c>
      <c r="H34" s="18" t="inlineStr"/>
      <c r="I34" s="19" t="n">
        <v>3</v>
      </c>
      <c r="J34" s="20" t="inlineStr">
        <is>
          <t>Chưa làm</t>
        </is>
      </c>
      <c r="K34" s="21" t="inlineStr"/>
      <c r="L34" s="21" t="inlineStr"/>
    </row>
    <row r="35">
      <c r="A35" s="17" t="inlineStr">
        <is>
          <t>T-34</t>
        </is>
      </c>
      <c r="B35" s="18" t="inlineStr">
        <is>
          <t>Tính năng</t>
        </is>
      </c>
      <c r="C35" s="18" t="inlineStr">
        <is>
          <t>Ghi chú khi hoàn thành</t>
        </is>
      </c>
      <c r="D35" s="17" t="inlineStr">
        <is>
          <t>Cả hai</t>
        </is>
      </c>
      <c r="E35" s="17" t="inlineStr">
        <is>
          <t>P2</t>
        </is>
      </c>
      <c r="F35" s="18" t="inlineStr">
        <is>
          <t>ChallengeCompletion.note đã có trong model nhưng chưa có UI nhập/hiển thị.</t>
        </is>
      </c>
      <c r="G35" s="18" t="inlineStr">
        <is>
          <t>Cho nhập ghi chú ngắn ở màn phần thưởng, hiển thị ở chi tiết ngày trong Lịch. Không đưa vào share card.</t>
        </is>
      </c>
      <c r="H35" s="18" t="inlineStr">
        <is>
          <t>sharedLogic/src/commonMain/kotlin/dev/lildua/oddly/domain/model/ChallengeCompletion.kt</t>
        </is>
      </c>
      <c r="I35" s="19" t="n">
        <v>1</v>
      </c>
      <c r="J35" s="20" t="inlineStr">
        <is>
          <t>Chưa làm</t>
        </is>
      </c>
      <c r="K35" s="21" t="inlineStr"/>
      <c r="L35" s="21" t="inlineStr"/>
    </row>
    <row r="36">
      <c r="A36" s="17" t="inlineStr">
        <is>
          <t>T-35</t>
        </is>
      </c>
      <c r="B36" s="18" t="inlineStr">
        <is>
          <t>Dữ liệu</t>
        </is>
      </c>
      <c r="C36" s="18" t="inlineStr">
        <is>
          <t>Kiểm thử migration dữ liệu</t>
        </is>
      </c>
      <c r="D36" s="17" t="inlineStr">
        <is>
          <t>Shared</t>
        </is>
      </c>
      <c r="E36" s="17" t="inlineStr">
        <is>
          <t>P1</t>
        </is>
      </c>
      <c r="F36" s="18" t="inlineStr">
        <is>
          <t>PersistedState.version = 1, decode() chưa có nhánh migrate. Bản v1.1 (VD thêm favorites) sẽ là lần đầu đổi schema trên máy người dùng thật.</t>
        </is>
      </c>
      <c r="G36" s="18" t="inlineStr">
        <is>
          <t>Tạo fixture JSON v1 thật (export từ bản 1.0) trong commonTest, viết test đảm bảo mọi version sau đọc được nó. Chốt quy tắc: chỉ thêm trường có default.</t>
        </is>
      </c>
      <c r="H36" s="18" t="inlineStr">
        <is>
          <t>sharedLogic/src/commonMain/kotlin/dev/lildua/oddly/data/local/OddlyRepository.kt; sharedLogic/src/commonTest/</t>
        </is>
      </c>
      <c r="I36" s="19" t="n">
        <v>0.5</v>
      </c>
      <c r="J36" s="20" t="inlineStr">
        <is>
          <t>Xong</t>
        </is>
      </c>
      <c r="K36" s="21" t="inlineStr"/>
      <c r="L36" s="21" t="inlineStr">
        <is>
          <t>Xong 18/10/2026: fixture V1_DOCUMENT + nhánh migrate từng bước trong OddlyRepository.decode, test đọc/import version cũ. 19/10 thêm V2_DOCUMENT (sinh bằng save) khi lên v3. Review APPROVE. Xem docs/plans/T-04_T-35.md.</t>
        </is>
      </c>
    </row>
  </sheetData>
  <autoFilter ref="A1:L36"/>
  <conditionalFormatting sqref="E2:E36">
    <cfRule type="cellIs" priority="1" operator="equal" dxfId="0">
      <formula>"P0"</formula>
    </cfRule>
    <cfRule type="cellIs" priority="2" operator="equal" dxfId="1">
      <formula>"P1"</formula>
    </cfRule>
    <cfRule type="cellIs" priority="3" operator="equal" dxfId="2">
      <formula>"P2"</formula>
    </cfRule>
  </conditionalFormatting>
  <conditionalFormatting sqref="A2:L36">
    <cfRule type="expression" priority="4" dxfId="3">
      <formula>$J2="Xong"</formula>
    </cfRule>
  </conditionalFormatting>
  <dataValidations count="2">
    <dataValidation sqref="E2:E36" showDropDown="0" showInputMessage="0" showErrorMessage="0" allowBlank="0" type="list">
      <formula1>"P0,P1,P2"</formula1>
    </dataValidation>
    <dataValidation sqref="J2:J36" showDropDown="0" showInputMessage="0" showErrorMessage="0" allowBlank="0" type="list">
      <formula1>"Chưa làm,Đang làm,Xong,Bỏ qua"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2026-10-18T12:49:26Z</dcterms:created>
  <dcterms:modified xsi:type="dcterms:W3CDTF">2026-10-25T08:22:19Z</dcterms:modified>
</cp:coreProperties>
</file>